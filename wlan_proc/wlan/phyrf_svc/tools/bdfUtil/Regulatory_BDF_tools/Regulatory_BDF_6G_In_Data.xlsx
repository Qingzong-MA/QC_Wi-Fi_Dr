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/>
  <xr:revisionPtr revIDLastSave="0" documentId="13_ncr:1_{98DE9207-3DAD-4150-ADEF-D9E2A4D5553D}" xr6:coauthVersionLast="47" xr6:coauthVersionMax="47" xr10:uidLastSave="{00000000-0000-0000-0000-000000000000}"/>
  <bookViews>
    <workbookView xWindow="-120" yWindow="-120" windowWidth="38640" windowHeight="21390" tabRatio="770" firstSheet="13" activeTab="15" xr2:uid="{00000000-000D-0000-FFFF-FFFF00000000}"/>
  </bookViews>
  <sheets>
    <sheet name="REGDB_VERSION_HISTORY" sheetId="23" r:id="rId1"/>
    <sheet name="REG_DOMAINS_2G_LOOKUP" sheetId="1" r:id="rId2"/>
    <sheet name="REG_DOMAINS_5G_LOOKUP" sheetId="2" r:id="rId3"/>
    <sheet name="REG_DOMAINS_6G_LOOKUP" sheetId="28" r:id="rId4"/>
    <sheet name="REG_DOMAIN_PAIRS_INPUT" sheetId="25" r:id="rId5"/>
    <sheet name="SUPER_DOMAIN_INPUT" sheetId="27" r:id="rId6"/>
    <sheet name="REG_RULES_2G_LOOKUP" sheetId="3" r:id="rId7"/>
    <sheet name="REG_RULES_5G_LOOKUP" sheetId="4" r:id="rId8"/>
    <sheet name="REG_RULES_6G_LOOKUP" sheetId="31" r:id="rId9"/>
    <sheet name="IMPORTANT_MACROS_LOOKUP" sheetId="5" r:id="rId10"/>
    <sheet name="DFS_LOOKUP" sheetId="6" r:id="rId11"/>
    <sheet name="CTL_LOOKUP" sheetId="22" r:id="rId12"/>
    <sheet name="COUNTRY_LOOKUP" sheetId="20" r:id="rId13"/>
    <sheet name="REG_DMN_PAIR_LOOKUP" sheetId="21" r:id="rId14"/>
    <sheet name="SUPER_DMN_6G_LOOKUP" sheetId="26" r:id="rId15"/>
    <sheet name="ALL_COUNTRIES_INPUT" sheetId="7" r:id="rId16"/>
    <sheet name="REG_RULES_2G_INPUT" sheetId="9" r:id="rId17"/>
    <sheet name="REG_DOMAINS_2G_INPUT" sheetId="10" r:id="rId18"/>
    <sheet name="REG_RULES_5G_INPUT" sheetId="11" r:id="rId19"/>
    <sheet name="REG_DOMAINS_5G_INPUT" sheetId="12" r:id="rId20"/>
    <sheet name="REG_DOMAINS_6G_INPUT" sheetId="30" r:id="rId21"/>
    <sheet name="REG_RULES_6G_INPUT" sheetId="29" r:id="rId22"/>
    <sheet name="SUBDOMAINS_6G_MAP" sheetId="32" r:id="rId23"/>
    <sheet name="SUBDOMAINS_6G_INPUT" sheetId="33" r:id="rId24"/>
    <sheet name="5G6GBWCONVERTER" sheetId="34" r:id="rId25"/>
  </sheets>
  <definedNames>
    <definedName name="_xlnm._FilterDatabase" localSheetId="15" hidden="1">ALL_COUNTRIES_INPUT!$A$1:$J$239</definedName>
    <definedName name="_xlnm._FilterDatabase" localSheetId="13" hidden="1">REG_DMN_PAIR_LOOKUP!$A$1:$C$137</definedName>
    <definedName name="_xlnm._FilterDatabase" localSheetId="2" hidden="1">REG_DOMAINS_5G_LOOKUP!#REF!</definedName>
    <definedName name="_xlnm._FilterDatabase" localSheetId="18" hidden="1">REG_RULES_5G_INPUT!$A$1:$H$156</definedName>
    <definedName name="_xlnm._FilterDatabase" localSheetId="21" hidden="1">REG_RULES_6G_INPUT!$A$1:$H$44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8" i="21" l="1"/>
  <c r="C139" i="21"/>
  <c r="C140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7" i="5" l="1"/>
  <c r="C3" i="21" l="1"/>
  <c r="C4" i="21"/>
  <c r="C5" i="21"/>
  <c r="C7" i="21"/>
  <c r="C8" i="21"/>
  <c r="C9" i="21"/>
  <c r="C10" i="21"/>
  <c r="C12" i="21"/>
  <c r="C11" i="21"/>
  <c r="C2" i="21" l="1"/>
  <c r="C3" i="5" l="1"/>
  <c r="C4" i="5"/>
  <c r="C5" i="5"/>
  <c r="C19" i="5" s="1"/>
  <c r="C6" i="5"/>
  <c r="C8" i="5"/>
  <c r="C9" i="5"/>
  <c r="C10" i="5"/>
  <c r="C11" i="5"/>
  <c r="C12" i="5"/>
  <c r="C13" i="5"/>
  <c r="C14" i="5"/>
  <c r="C15" i="5"/>
  <c r="C16" i="5"/>
  <c r="C17" i="5"/>
  <c r="C18" i="5"/>
  <c r="C2" i="5"/>
  <c r="C20" i="5" l="1"/>
</calcChain>
</file>

<file path=xl/sharedStrings.xml><?xml version="1.0" encoding="utf-8"?>
<sst xmlns="http://schemas.openxmlformats.org/spreadsheetml/2006/main" count="3882" uniqueCount="1329">
  <si>
    <t>REG DOMAIN ID</t>
  </si>
  <si>
    <t>VALUE</t>
  </si>
  <si>
    <t>NULL1_id</t>
  </si>
  <si>
    <t>FCCA_id</t>
  </si>
  <si>
    <t>WORLD_id</t>
  </si>
  <si>
    <t>MKKA_id</t>
  </si>
  <si>
    <t>MKKC_id</t>
  </si>
  <si>
    <t>ETSIC_id</t>
  </si>
  <si>
    <t>WORLD_2G_1_id</t>
  </si>
  <si>
    <t>WORLD_2G_2_id</t>
  </si>
  <si>
    <t>WORLD_2G_3_id</t>
  </si>
  <si>
    <t>FCC1_id</t>
  </si>
  <si>
    <t>FCC2_id</t>
  </si>
  <si>
    <t>FCC3_id</t>
  </si>
  <si>
    <t>FCC4_id</t>
  </si>
  <si>
    <t>FCC6_id</t>
  </si>
  <si>
    <t>FCC8_id</t>
  </si>
  <si>
    <t>FCC11_id</t>
  </si>
  <si>
    <t>ETSI1_id</t>
  </si>
  <si>
    <t>ETSI3_id</t>
  </si>
  <si>
    <t>ETSI4_id</t>
  </si>
  <si>
    <t>ETSI8_id</t>
  </si>
  <si>
    <t>ETSI9_id</t>
  </si>
  <si>
    <t>ETSI11_id</t>
  </si>
  <si>
    <t>APL1_id</t>
  </si>
  <si>
    <t>APL2_id</t>
  </si>
  <si>
    <t>APL4_id</t>
  </si>
  <si>
    <t>APL6_id</t>
  </si>
  <si>
    <t>APL8_id</t>
  </si>
  <si>
    <t>APL9_id</t>
  </si>
  <si>
    <t>APL10_id</t>
  </si>
  <si>
    <t>APL12_id</t>
  </si>
  <si>
    <t>APL13_id</t>
  </si>
  <si>
    <t>APL14_id</t>
  </si>
  <si>
    <t>APL15_id</t>
  </si>
  <si>
    <t>APL16_id</t>
  </si>
  <si>
    <t>MKK3_id</t>
  </si>
  <si>
    <t>MKK5_id</t>
  </si>
  <si>
    <t>MKK11_id</t>
  </si>
  <si>
    <t>WORLD_5G_1_id</t>
  </si>
  <si>
    <t>WORLD_5G_2_id</t>
  </si>
  <si>
    <t>value</t>
  </si>
  <si>
    <t>CHAN_1_11_1</t>
  </si>
  <si>
    <t>CHAN_1_11_2</t>
  </si>
  <si>
    <t>CHAN_1_13_1</t>
  </si>
  <si>
    <t>CHAN_1_13_2</t>
  </si>
  <si>
    <t>CHAN_12_13_1</t>
  </si>
  <si>
    <t>CHAN_14_1</t>
  </si>
  <si>
    <t>CHAN_14_2</t>
  </si>
  <si>
    <t>CHAN_4910_4990_1</t>
  </si>
  <si>
    <t>CHAN_4940_4990_1</t>
  </si>
  <si>
    <t>CHAN_5030_5090_1</t>
  </si>
  <si>
    <t>CHAN_5170_5250_1</t>
  </si>
  <si>
    <t>CHAN_5170_5250_2</t>
  </si>
  <si>
    <t>CHAN_5170_5250_3</t>
  </si>
  <si>
    <t>CHAN_5170_5250_4</t>
  </si>
  <si>
    <t>CHAN_5170_5250_5</t>
  </si>
  <si>
    <t>CHAN_5170_5250_6</t>
  </si>
  <si>
    <t>CHAN_5170_5330_1</t>
  </si>
  <si>
    <t>CHAN_5250_5330_1</t>
  </si>
  <si>
    <t>CHAN_5250_5330_2</t>
  </si>
  <si>
    <t>CHAN_5250_5330_3</t>
  </si>
  <si>
    <t>CHAN_5250_5330_4</t>
  </si>
  <si>
    <t>CHAN_5250_5330_5</t>
  </si>
  <si>
    <t>CHAN_5250_5330_6</t>
  </si>
  <si>
    <t>CHAN_5250_5330_7</t>
  </si>
  <si>
    <t>CHAN_5650_5730_1</t>
  </si>
  <si>
    <t>CHAN_5650_5730_2</t>
  </si>
  <si>
    <t>CHAN_5735_5835_1</t>
  </si>
  <si>
    <t>CHAN_5735_5835_2</t>
  </si>
  <si>
    <t>CHAN_5735_5835_3</t>
  </si>
  <si>
    <t>CHAN_5735_5835_4</t>
  </si>
  <si>
    <t>CHAN_5735_5835_5</t>
  </si>
  <si>
    <t>CHAN_5735_5835_6</t>
  </si>
  <si>
    <t>CHAN_5735_5875_1</t>
  </si>
  <si>
    <t>CHAN_5735_5815_1</t>
  </si>
  <si>
    <t>CHAN_5735_5775_1</t>
  </si>
  <si>
    <t xml:space="preserve">MACRO </t>
  </si>
  <si>
    <t>LEFT SHIFT</t>
  </si>
  <si>
    <t>REGULATORY_CHAN_DISABLED</t>
  </si>
  <si>
    <t>REGULATORY_CHAN_NO_IR</t>
  </si>
  <si>
    <t>REGULATORY_CHAN_RADAR</t>
  </si>
  <si>
    <t>REGULATORY_CHAN_NO_OFDM</t>
  </si>
  <si>
    <t>REGULATORY_CHAN_INDOOR_ONLY</t>
  </si>
  <si>
    <t>REGULATORY_CHAN_NO_HT40</t>
  </si>
  <si>
    <t>REGULATORY_CHAN_NO_80MHZ</t>
  </si>
  <si>
    <t>REGULATORY_CHAN_NO_160MHZ</t>
  </si>
  <si>
    <t>REGULATORY_CHAN_NO_20MHZ</t>
  </si>
  <si>
    <t>REGULATORY_CHAN_NO_10MHZ</t>
  </si>
  <si>
    <t>REGULATORY_PHYMODE_NO11A</t>
  </si>
  <si>
    <t>REGULATORY_PHYMODE_NO11B</t>
  </si>
  <si>
    <t>REGULATORY_PHYMODE_NO11G</t>
  </si>
  <si>
    <t>REGULATORY_CHAN_NO11N</t>
  </si>
  <si>
    <t>REGULATORY_PHYMODE_NO11AC</t>
  </si>
  <si>
    <t>REGULATORY_PHYMODE_NO11AX</t>
  </si>
  <si>
    <t>FIELD</t>
  </si>
  <si>
    <t>DFS_UNINIT_REG</t>
  </si>
  <si>
    <t>DFS_FCC_REG</t>
  </si>
  <si>
    <t>DFS_ETSI_REG</t>
  </si>
  <si>
    <t>DFS_MKK_REG</t>
  </si>
  <si>
    <t>DFS_CN_REG</t>
  </si>
  <si>
    <t>DFS_KR_REG</t>
  </si>
  <si>
    <t>DFS_UNDEF_REG</t>
  </si>
  <si>
    <t>COUNTRY_CODE</t>
  </si>
  <si>
    <t>REG_DOMAIN_PAIR</t>
  </si>
  <si>
    <t>ALPHA2</t>
  </si>
  <si>
    <t>ALPHA2_11D</t>
  </si>
  <si>
    <t>MAX_BW_2G</t>
  </si>
  <si>
    <t>MAX_BW_5G</t>
  </si>
  <si>
    <t>PHYMODE_BITMAP</t>
  </si>
  <si>
    <t>CTRY_AFGHANISTAN</t>
  </si>
  <si>
    <t>ETSI1_WORLD</t>
  </si>
  <si>
    <t>CTRY_ALBANIA</t>
  </si>
  <si>
    <t>CTRY_ALGERIA</t>
  </si>
  <si>
    <t>APL13_WORLD</t>
  </si>
  <si>
    <t>CTRY_AMERICAN_SAMOA</t>
  </si>
  <si>
    <t>FCC3_FCCA</t>
  </si>
  <si>
    <t>CTRY_ANGUILLA</t>
  </si>
  <si>
    <t>CTRY_ARGENTINA</t>
  </si>
  <si>
    <t>FCC3_WORLD</t>
  </si>
  <si>
    <t>CTRY_ARGENTINA2</t>
  </si>
  <si>
    <t>APL16_WORLD</t>
  </si>
  <si>
    <t>CTRY_ARMENIA</t>
  </si>
  <si>
    <t>ETSI4_WORLD</t>
  </si>
  <si>
    <t>CTRY_ARUBA</t>
  </si>
  <si>
    <t>CTRY_AUSTRALIA</t>
  </si>
  <si>
    <t>CTRY_AUSTRALIA_AP</t>
  </si>
  <si>
    <t>FCC6_WORLD</t>
  </si>
  <si>
    <t>CTRY_AUSTRIA</t>
  </si>
  <si>
    <t>CTRY_AZERBAIJAN</t>
  </si>
  <si>
    <t>CTRY_BAHAMAS</t>
  </si>
  <si>
    <t>CTRY_BAHRAIN</t>
  </si>
  <si>
    <t>APL15_WORLD</t>
  </si>
  <si>
    <t>CTRY_BANGLADESH</t>
  </si>
  <si>
    <t>APL1_WORLD</t>
  </si>
  <si>
    <t>CTRY_BARBADOS</t>
  </si>
  <si>
    <t>FCC2_WORLD</t>
  </si>
  <si>
    <t>CTRY_BELARUS</t>
  </si>
  <si>
    <t>CTRY_BELGIUM</t>
  </si>
  <si>
    <t>CTRY_BELGIUM2</t>
  </si>
  <si>
    <t>CTRY_BELIZE</t>
  </si>
  <si>
    <t>FCC3_ETSIC</t>
  </si>
  <si>
    <t>CTRY_BERMUDA</t>
  </si>
  <si>
    <t>CTRY_BHUTAN</t>
  </si>
  <si>
    <t>CTRY_BOLIVIA</t>
  </si>
  <si>
    <t>APL8_WORLD</t>
  </si>
  <si>
    <t>CTRY_BOSNIA_HERZEGOWANIA</t>
  </si>
  <si>
    <t>CTRY_BRAZIL</t>
  </si>
  <si>
    <t>CTRY_BRUNEI_DARUSSALAM</t>
  </si>
  <si>
    <t>APL6_WORLD</t>
  </si>
  <si>
    <t>CTRY_BULGARIA</t>
  </si>
  <si>
    <t>CTRY_BURKINA_FASO</t>
  </si>
  <si>
    <t>CTRY_CAMBODIA</t>
  </si>
  <si>
    <t>CTRY_CANADA</t>
  </si>
  <si>
    <t>CTRY_CANADA_AP</t>
  </si>
  <si>
    <t>FCC6_FCCA</t>
  </si>
  <si>
    <t>CTRY_CAYMAN_ISLANDS</t>
  </si>
  <si>
    <t>CTRY_CENTRAL_AFRICA_REPUBLIC</t>
  </si>
  <si>
    <t>CTRY_CHAD</t>
  </si>
  <si>
    <t>CTRY_CHILE</t>
  </si>
  <si>
    <t>CTRY_CHINA</t>
  </si>
  <si>
    <t>APL14_WORLD</t>
  </si>
  <si>
    <t>CTRY_CHRISTMAS_ISLAND</t>
  </si>
  <si>
    <t>CTRY_COLOMBIA</t>
  </si>
  <si>
    <t>CTRY_COSTA_RICA</t>
  </si>
  <si>
    <t>CTRY_COTE_DIVOIRE</t>
  </si>
  <si>
    <t>CTRY_CROATIA</t>
  </si>
  <si>
    <t>CTRY_CYPRUS</t>
  </si>
  <si>
    <t>CTRY_CZECH</t>
  </si>
  <si>
    <t>CTRY_DENMARK</t>
  </si>
  <si>
    <t>CTRY_DOMINICA</t>
  </si>
  <si>
    <t>FCC1_FCCA</t>
  </si>
  <si>
    <t>CTRY_DOMINICAN_REPUBLIC</t>
  </si>
  <si>
    <t>CTRY_ECUADOR</t>
  </si>
  <si>
    <t>CTRY_EGYPT</t>
  </si>
  <si>
    <t>ETSI3_WORLD</t>
  </si>
  <si>
    <t>CTRY_EL_SALVADOR</t>
  </si>
  <si>
    <t>FCC1_WORLD</t>
  </si>
  <si>
    <t>CTRY_ESTONIA</t>
  </si>
  <si>
    <t>CTRY_ETHIOPIA</t>
  </si>
  <si>
    <t>CTRY_FINLAND</t>
  </si>
  <si>
    <t>CTRY_FRANCE</t>
  </si>
  <si>
    <t>CTRY_FRENCH_GUIANA</t>
  </si>
  <si>
    <t>CTRY_FRENCH_POLYNESIA</t>
  </si>
  <si>
    <t>CTRY_GEORGIA</t>
  </si>
  <si>
    <t>CTRY_GERMANY</t>
  </si>
  <si>
    <t>CTRY_GHANA</t>
  </si>
  <si>
    <t>CTRY_GREECE</t>
  </si>
  <si>
    <t>CTRY_GREENLAND</t>
  </si>
  <si>
    <t>CTRY_GRENADA</t>
  </si>
  <si>
    <t>CTRY_GUADELOUPE</t>
  </si>
  <si>
    <t>CTRY_GUAM</t>
  </si>
  <si>
    <t>CTRY_GUATEMALA</t>
  </si>
  <si>
    <t>CTRY_GUYANA</t>
  </si>
  <si>
    <t>APL1_ETSIC</t>
  </si>
  <si>
    <t>CTRY_HAITI</t>
  </si>
  <si>
    <t>CTRY_HONDURAS</t>
  </si>
  <si>
    <t>CTRY_HONG_KONG</t>
  </si>
  <si>
    <t>CTRY_HUNGARY</t>
  </si>
  <si>
    <t>CTRY_ICELAND</t>
  </si>
  <si>
    <t>CTRY_INDIA</t>
  </si>
  <si>
    <t>CTRY_INDONESIA</t>
  </si>
  <si>
    <t>APL2_ETSIC</t>
  </si>
  <si>
    <t>CTRY_IRELAND</t>
  </si>
  <si>
    <t>CTRY_ISRAEL</t>
  </si>
  <si>
    <t>CTRY_ITALY</t>
  </si>
  <si>
    <t>CTRY_JAMAICA</t>
  </si>
  <si>
    <t>CTRY_JORDAN</t>
  </si>
  <si>
    <t>APL4_WORLD</t>
  </si>
  <si>
    <t>CTRY_KAZAKHSTAN</t>
  </si>
  <si>
    <t>NULL1_WORLD</t>
  </si>
  <si>
    <t>CTRY_KENYA</t>
  </si>
  <si>
    <t>APL12_WORLD</t>
  </si>
  <si>
    <t>CTRY_KOREA_ROC</t>
  </si>
  <si>
    <t>APL9_WORLD</t>
  </si>
  <si>
    <t>CTRY_KUWAIT</t>
  </si>
  <si>
    <t>CTRY_LATVIA</t>
  </si>
  <si>
    <t>CTRY_LEBANON</t>
  </si>
  <si>
    <t>CTRY_LESOTHO</t>
  </si>
  <si>
    <t>CTRY_LIECHTENSTEIN</t>
  </si>
  <si>
    <t>CTRY_LITHUANIA</t>
  </si>
  <si>
    <t>CTRY_LUXEMBOURG</t>
  </si>
  <si>
    <t>CTRY_MACAU</t>
  </si>
  <si>
    <t>CTRY_MACEDONIA</t>
  </si>
  <si>
    <t>CTRY_MALAWI</t>
  </si>
  <si>
    <t>CTRY_MALAYSIA</t>
  </si>
  <si>
    <t>FCC11_WORLD</t>
  </si>
  <si>
    <t>CTRY_MALDIVES</t>
  </si>
  <si>
    <t>CTRY_MALTA</t>
  </si>
  <si>
    <t>CTRY_MARSHALL_ISLANDS</t>
  </si>
  <si>
    <t>CTRY_MARTINIQUE</t>
  </si>
  <si>
    <t>CTRY_MAURITANIA</t>
  </si>
  <si>
    <t>CTRY_MAURITIUS</t>
  </si>
  <si>
    <t>CTRY_MAYOTTE</t>
  </si>
  <si>
    <t>CTRY_MEXICO</t>
  </si>
  <si>
    <t>CTRY_MICRONESIA</t>
  </si>
  <si>
    <t>CTRY_MOLDOVA</t>
  </si>
  <si>
    <t>CTRY_MONACO</t>
  </si>
  <si>
    <t>CTRY_MONGOLIA</t>
  </si>
  <si>
    <t>CTRY_MONTENEGRO</t>
  </si>
  <si>
    <t>CTRY_MOROCCO</t>
  </si>
  <si>
    <t>CTRY_NAMIBIA</t>
  </si>
  <si>
    <t>CTRY_NEPAL</t>
  </si>
  <si>
    <t>CTRY_NETHERLANDS</t>
  </si>
  <si>
    <t>CTRY_NETHERLAND_ANTILLES</t>
  </si>
  <si>
    <t>CTRY_NEW_ZEALAND</t>
  </si>
  <si>
    <t>CTRY_NIGERIA</t>
  </si>
  <si>
    <t>CTRY_NORTHERN_MARIANA_ISLANDS</t>
  </si>
  <si>
    <t>CTRY_NICARAGUA</t>
  </si>
  <si>
    <t>CTRY_NORWAY</t>
  </si>
  <si>
    <t>CTRY_OMAN</t>
  </si>
  <si>
    <t>CTRY_PAKISTAN</t>
  </si>
  <si>
    <t>CTRY_PALAU</t>
  </si>
  <si>
    <t>CTRY_PANAMA</t>
  </si>
  <si>
    <t>CTRY_PAPUA_NEW_GUINEA</t>
  </si>
  <si>
    <t>CTRY_PARAGUAY</t>
  </si>
  <si>
    <t>CTRY_PERU</t>
  </si>
  <si>
    <t>CTRY_PHILIPPINES</t>
  </si>
  <si>
    <t>CTRY_POLAND</t>
  </si>
  <si>
    <t>CTRY_PORTUGAL</t>
  </si>
  <si>
    <t>CTRY_PUERTO_RICO</t>
  </si>
  <si>
    <t>CTRY_QATAR</t>
  </si>
  <si>
    <t>CTRY_REUNION</t>
  </si>
  <si>
    <t>CTRY_ROMANIA</t>
  </si>
  <si>
    <t>CTRY_RUSSIA</t>
  </si>
  <si>
    <t>ETSI8_WORLD</t>
  </si>
  <si>
    <t>CTRY_RWANDA</t>
  </si>
  <si>
    <t>CTRY_SAINT_BARTHELEMY</t>
  </si>
  <si>
    <t>CTRY_SAINT_KITTS_AND_NEVIS</t>
  </si>
  <si>
    <t>APL10_WORLD</t>
  </si>
  <si>
    <t>CTRY_SAINT_LUCIA</t>
  </si>
  <si>
    <t>CTRY_SAINT_MARTIN</t>
  </si>
  <si>
    <t>CTRY_SAINT_PIERRE_AND_MIQUELON</t>
  </si>
  <si>
    <t>CTRY_SAINT_VINCENT_AND_THE_GRENADIENS</t>
  </si>
  <si>
    <t>CTRY_SAMOA</t>
  </si>
  <si>
    <t>CTRY_SAUDI_ARABIA</t>
  </si>
  <si>
    <t>CTRY_SENEGAL</t>
  </si>
  <si>
    <t>CTRY_SERBIA</t>
  </si>
  <si>
    <t>CTRY_SINGAPORE</t>
  </si>
  <si>
    <t>CTRY_SLOVAKIA</t>
  </si>
  <si>
    <t>CTRY_SLOVENIA</t>
  </si>
  <si>
    <t>CTRY_SOUTH_AFRICA</t>
  </si>
  <si>
    <t>CTRY_SPAIN</t>
  </si>
  <si>
    <t>CTRY_SURINAME</t>
  </si>
  <si>
    <t>CTRY_SRILANKA</t>
  </si>
  <si>
    <t>CTRY_SWEDEN</t>
  </si>
  <si>
    <t>CTRY_SWITZERLAND</t>
  </si>
  <si>
    <t>CTRY_TAIWAN</t>
  </si>
  <si>
    <t>CTRY_TANZANIA</t>
  </si>
  <si>
    <t>CTRY_THAILAND</t>
  </si>
  <si>
    <t>CTRY_TOGO</t>
  </si>
  <si>
    <t>CTRY_TRINIDAD_Y_TOBAGO</t>
  </si>
  <si>
    <t>CTRY_TUNISIA</t>
  </si>
  <si>
    <t>CTRY_TURKEY</t>
  </si>
  <si>
    <t>CTRY_TURKS_AND_CAICOS</t>
  </si>
  <si>
    <t>CTRY_UGANDA</t>
  </si>
  <si>
    <t>CTRY_UKRAINE</t>
  </si>
  <si>
    <t>ETSI9_WORLD</t>
  </si>
  <si>
    <t>CTRY_UAE</t>
  </si>
  <si>
    <t>CTRY_UNITED_KINGDOM</t>
  </si>
  <si>
    <t>CTRY_UNITED_STATES</t>
  </si>
  <si>
    <t>CTRY_UNITED_STATES_AP</t>
  </si>
  <si>
    <t>CTRY_UNITED_STATES_PS</t>
  </si>
  <si>
    <t>FCC4_FCCA</t>
  </si>
  <si>
    <t>CTRY_UNITED_STATES2</t>
  </si>
  <si>
    <t>FCC8_FCCA</t>
  </si>
  <si>
    <t>CTRY_URUGUAY</t>
  </si>
  <si>
    <t>CTRY_UZBEKISTAN</t>
  </si>
  <si>
    <t>CTRY_VANUATU</t>
  </si>
  <si>
    <t>CTRY_VENEZUELA</t>
  </si>
  <si>
    <t>FCC2_ETSIC</t>
  </si>
  <si>
    <t>CTRY_VIET_NAM</t>
  </si>
  <si>
    <t>CTRY_VIRGIN_ISLANDS</t>
  </si>
  <si>
    <t>CTRY_WALLIS_AND_FUTUNA</t>
  </si>
  <si>
    <t>CTRY_YEMEN</t>
  </si>
  <si>
    <t>CTRY_ZIMBABWE</t>
  </si>
  <si>
    <t>CTRY_JAPAN7</t>
  </si>
  <si>
    <t>MKK3_MKKB</t>
  </si>
  <si>
    <t>CTRY_JAPAN8</t>
  </si>
  <si>
    <t>MKK3_MKKA</t>
  </si>
  <si>
    <t>CTRY_JAPAN9</t>
  </si>
  <si>
    <t>MKK3_MKKC</t>
  </si>
  <si>
    <t>CTRY_JAPAN10</t>
  </si>
  <si>
    <t>MKK4_MKKB</t>
  </si>
  <si>
    <t>CTRY_JAPAN11</t>
  </si>
  <si>
    <t>MKK4_MKKA</t>
  </si>
  <si>
    <t>CTRY_JAPAN12</t>
  </si>
  <si>
    <t>MKK4_MKKC</t>
  </si>
  <si>
    <t>CTRY_JAPAN13</t>
  </si>
  <si>
    <t>MKK5_MKKB</t>
  </si>
  <si>
    <t>CTRY_JAPAN14</t>
  </si>
  <si>
    <t>MKK5_MKKA</t>
  </si>
  <si>
    <t>CTRY_JAPAN15</t>
  </si>
  <si>
    <t>MKK5_MKKC</t>
  </si>
  <si>
    <t>CTRY_JAPAN25</t>
  </si>
  <si>
    <t>CTRY_JAPAN26</t>
  </si>
  <si>
    <t>CTRY_JAPAN27</t>
  </si>
  <si>
    <t>MKK3_FCCA</t>
  </si>
  <si>
    <t>CTRY_JAPAN28</t>
  </si>
  <si>
    <t>CTRY_JAPAN29</t>
  </si>
  <si>
    <t>MKK4_FCCA</t>
  </si>
  <si>
    <t>CTRY_JAPAN34</t>
  </si>
  <si>
    <t>MKK9_MKKA</t>
  </si>
  <si>
    <t>CTRY_JAPAN35</t>
  </si>
  <si>
    <t>MKK10_MKKA</t>
  </si>
  <si>
    <t>CTRY_JAPAN36</t>
  </si>
  <si>
    <t>CTRY_JAPAN37</t>
  </si>
  <si>
    <t>MKK9_FCCA</t>
  </si>
  <si>
    <t>CTRY_JAPAN38</t>
  </si>
  <si>
    <t>CTRY_JAPAN39</t>
  </si>
  <si>
    <t>MKK9_MKKC</t>
  </si>
  <si>
    <t>CTRY_JAPAN40</t>
  </si>
  <si>
    <t>CTRY_JAPAN41</t>
  </si>
  <si>
    <t>MKK10_FCCA</t>
  </si>
  <si>
    <t>CTRY_JAPAN42</t>
  </si>
  <si>
    <t>CTRY_JAPAN43</t>
  </si>
  <si>
    <t>MKK10_MKKC</t>
  </si>
  <si>
    <t>CTRY_JAPAN44</t>
  </si>
  <si>
    <t>CTRY_JAPAN45</t>
  </si>
  <si>
    <t>MKK11_MKKA</t>
  </si>
  <si>
    <t>CTRY_JAPAN46</t>
  </si>
  <si>
    <t>MKK11_FCCA</t>
  </si>
  <si>
    <t>CTRY_JAPAN47</t>
  </si>
  <si>
    <t>CTRY_JAPAN48</t>
  </si>
  <si>
    <t>MKK11_MKKC</t>
  </si>
  <si>
    <t>CTRY_JAPAN49</t>
  </si>
  <si>
    <t>CTRY_JAPAN55</t>
  </si>
  <si>
    <t>CTRY_JAPAN56</t>
  </si>
  <si>
    <t>MKK5_FCCA</t>
  </si>
  <si>
    <t>CTRY_XA</t>
  </si>
  <si>
    <t>NUMERICAL VALUE</t>
  </si>
  <si>
    <t>CTRY_FRANCE2</t>
  </si>
  <si>
    <t>CTRY_IRAQ</t>
  </si>
  <si>
    <t>CTRY_JAPAN</t>
  </si>
  <si>
    <t>CTRY_JAPAN1</t>
  </si>
  <si>
    <t>CTRY_JAPAN2</t>
  </si>
  <si>
    <t>CTRY_JAPAN3</t>
  </si>
  <si>
    <t>CTRY_JAPAN4</t>
  </si>
  <si>
    <t>CTRY_JAPAN5</t>
  </si>
  <si>
    <t>CTRY_JAPAN6</t>
  </si>
  <si>
    <t>CTRY_KOREA_ROC2</t>
  </si>
  <si>
    <t>CTRY_KOREA_ROC3</t>
  </si>
  <si>
    <t>CTRY_LIBYA</t>
  </si>
  <si>
    <t>REG DOMAIN ENUM</t>
  </si>
  <si>
    <t>HEX VALUE</t>
  </si>
  <si>
    <t>DECIMAL VALUE</t>
  </si>
  <si>
    <t>NO_ENUMRD</t>
  </si>
  <si>
    <t>0x00</t>
  </si>
  <si>
    <t>0x03</t>
  </si>
  <si>
    <t>NULL1_ETSIB</t>
  </si>
  <si>
    <t>0x07</t>
  </si>
  <si>
    <t>NULL1_ETSIC</t>
  </si>
  <si>
    <t>0x08</t>
  </si>
  <si>
    <t>0x10</t>
  </si>
  <si>
    <t>0x11</t>
  </si>
  <si>
    <t>FCC2_FCCA</t>
  </si>
  <si>
    <t>0x20</t>
  </si>
  <si>
    <t>0x21</t>
  </si>
  <si>
    <t>0x22</t>
  </si>
  <si>
    <t>0x3A</t>
  </si>
  <si>
    <t>0x3B</t>
  </si>
  <si>
    <t>0x3F</t>
  </si>
  <si>
    <t>0x12</t>
  </si>
  <si>
    <t>FCC5_FCCA</t>
  </si>
  <si>
    <t>0x13</t>
  </si>
  <si>
    <t>FCC5_WORLD</t>
  </si>
  <si>
    <t>0x16</t>
  </si>
  <si>
    <t>0x14</t>
  </si>
  <si>
    <t>0x19</t>
  </si>
  <si>
    <t>0x23</t>
  </si>
  <si>
    <t>0x37</t>
  </si>
  <si>
    <t>ETSI2_WORLD</t>
  </si>
  <si>
    <t>0x35</t>
  </si>
  <si>
    <t>0x36</t>
  </si>
  <si>
    <t>0x30</t>
  </si>
  <si>
    <t>ETSI4_ETSIC</t>
  </si>
  <si>
    <t>0x38</t>
  </si>
  <si>
    <t>ETSI5_WORLD</t>
  </si>
  <si>
    <t>0x39</t>
  </si>
  <si>
    <t>ETSI6_WORLD</t>
  </si>
  <si>
    <t>0x34</t>
  </si>
  <si>
    <t>0x3D</t>
  </si>
  <si>
    <t>0x3E</t>
  </si>
  <si>
    <t>ETSI11_WORLD</t>
  </si>
  <si>
    <t>0x26</t>
  </si>
  <si>
    <t>ETSI_RESERVED</t>
  </si>
  <si>
    <t>0x33</t>
  </si>
  <si>
    <t>0x31</t>
  </si>
  <si>
    <t>0x5B</t>
  </si>
  <si>
    <t>0x42</t>
  </si>
  <si>
    <t>APL3_FCCA</t>
  </si>
  <si>
    <t>0x50</t>
  </si>
  <si>
    <t>APL_RESERVED</t>
  </si>
  <si>
    <t>0x44</t>
  </si>
  <si>
    <t>APL2_WORLD</t>
  </si>
  <si>
    <t>0x45</t>
  </si>
  <si>
    <t>APL2_APLC</t>
  </si>
  <si>
    <t>0x46</t>
  </si>
  <si>
    <t>APL3_WORLD</t>
  </si>
  <si>
    <t>0x47</t>
  </si>
  <si>
    <t>APL2_APLD</t>
  </si>
  <si>
    <t>0x49</t>
  </si>
  <si>
    <t>APL2_FCCA</t>
  </si>
  <si>
    <t>0x4D</t>
  </si>
  <si>
    <t>0x52</t>
  </si>
  <si>
    <t>APL1_FCCA</t>
  </si>
  <si>
    <t>0x53</t>
  </si>
  <si>
    <t>0x55</t>
  </si>
  <si>
    <t>0x56</t>
  </si>
  <si>
    <t>APL5_WORLD</t>
  </si>
  <si>
    <t>0x58</t>
  </si>
  <si>
    <t>APL7_FCCA</t>
  </si>
  <si>
    <t>0x5C</t>
  </si>
  <si>
    <t>0x5D</t>
  </si>
  <si>
    <t>0x5E</t>
  </si>
  <si>
    <t>0x5F</t>
  </si>
  <si>
    <t>0x51</t>
  </si>
  <si>
    <t>0x5A</t>
  </si>
  <si>
    <t>0x57</t>
  </si>
  <si>
    <t>0x59</t>
  </si>
  <si>
    <t>0x70</t>
  </si>
  <si>
    <t>0xF0</t>
  </si>
  <si>
    <t>0x80</t>
  </si>
  <si>
    <t>0x82</t>
  </si>
  <si>
    <t>0xF2</t>
  </si>
  <si>
    <t>0xF3</t>
  </si>
  <si>
    <t>0x83</t>
  </si>
  <si>
    <t>0x85</t>
  </si>
  <si>
    <t>0xF5</t>
  </si>
  <si>
    <t>0x99</t>
  </si>
  <si>
    <t>0x9A</t>
  </si>
  <si>
    <t>0x86</t>
  </si>
  <si>
    <t>0x88</t>
  </si>
  <si>
    <t>0xF6</t>
  </si>
  <si>
    <t>0xFE</t>
  </si>
  <si>
    <t>0xFC</t>
  </si>
  <si>
    <t>0xF7</t>
  </si>
  <si>
    <t>0xD2</t>
  </si>
  <si>
    <t>0xD0</t>
  </si>
  <si>
    <t>0xD4</t>
  </si>
  <si>
    <t>0xD5</t>
  </si>
  <si>
    <t>0xD7</t>
  </si>
  <si>
    <t>WOR0_WORLD</t>
  </si>
  <si>
    <t>0x60</t>
  </si>
  <si>
    <t>WOR1_WORLD</t>
  </si>
  <si>
    <t>0x61</t>
  </si>
  <si>
    <t>WOR2_WORLD</t>
  </si>
  <si>
    <t>0x62</t>
  </si>
  <si>
    <t>WOR3_WORLD</t>
  </si>
  <si>
    <t>0x63</t>
  </si>
  <si>
    <t>WOR4_WORLD</t>
  </si>
  <si>
    <t>0x64</t>
  </si>
  <si>
    <t>WOR5_ETSIC</t>
  </si>
  <si>
    <t>0x65</t>
  </si>
  <si>
    <t>WOR01_WORLD</t>
  </si>
  <si>
    <t>0x66</t>
  </si>
  <si>
    <t>WOR02_WORLD</t>
  </si>
  <si>
    <t>0x67</t>
  </si>
  <si>
    <t>EU1_WORLD</t>
  </si>
  <si>
    <t>0x68</t>
  </si>
  <si>
    <t>WOR9_WORLD</t>
  </si>
  <si>
    <t>0x69</t>
  </si>
  <si>
    <t>WORA_WORLD</t>
  </si>
  <si>
    <t>0x6A</t>
  </si>
  <si>
    <t>WORB_WORLD</t>
  </si>
  <si>
    <t>0x6B</t>
  </si>
  <si>
    <t>WORC_WORLD</t>
  </si>
  <si>
    <t>0x6C</t>
  </si>
  <si>
    <t>REGULATORY_CHAN_NO_OFDM|REGULATORY_CHAN_NO_IR</t>
  </si>
  <si>
    <t>START FREQ</t>
  </si>
  <si>
    <t xml:space="preserve">END FREQ </t>
  </si>
  <si>
    <t>MAX_BW</t>
  </si>
  <si>
    <t>REG_PWR</t>
  </si>
  <si>
    <t>PAD_INTERNAL</t>
  </si>
  <si>
    <t>FLAGS</t>
  </si>
  <si>
    <t>CTL_VALUE</t>
  </si>
  <si>
    <t>DFS_REGION</t>
  </si>
  <si>
    <t>MIN_BW</t>
  </si>
  <si>
    <t>ANTENNA_GAIN</t>
  </si>
  <si>
    <t>NUM_REG_RULES</t>
  </si>
  <si>
    <t>RULE_1</t>
  </si>
  <si>
    <t>RULE_2</t>
  </si>
  <si>
    <t>RULE_3</t>
  </si>
  <si>
    <t>RULE_4</t>
  </si>
  <si>
    <t>RULE_5</t>
  </si>
  <si>
    <t>RULE_6</t>
  </si>
  <si>
    <t>RULE_7</t>
  </si>
  <si>
    <t>RULE_8</t>
  </si>
  <si>
    <t>RULE_9</t>
  </si>
  <si>
    <t>RULE_10</t>
  </si>
  <si>
    <t>FCC</t>
  </si>
  <si>
    <t>ETSI</t>
  </si>
  <si>
    <t>MKK</t>
  </si>
  <si>
    <t>NO_CTL</t>
  </si>
  <si>
    <t>CHANNEL</t>
  </si>
  <si>
    <t>APL23_WORLD</t>
  </si>
  <si>
    <t>FCC13_WORLD</t>
  </si>
  <si>
    <t>APL20_WORLD</t>
  </si>
  <si>
    <t>REGULATORY_CHAN_RADAR|REGULATORY_CHAN_INDOOR_ONLY</t>
  </si>
  <si>
    <t>CTRY_GIBRALTAR</t>
  </si>
  <si>
    <t>CTRY_INDIA2</t>
  </si>
  <si>
    <t>APL19_ETSIC</t>
  </si>
  <si>
    <t>FCC14_FCCB</t>
  </si>
  <si>
    <t>CTRY_JAPAN60</t>
  </si>
  <si>
    <t>MKK16_MKKC</t>
  </si>
  <si>
    <t>APL11_FCCA</t>
  </si>
  <si>
    <t>APL17_ETSID</t>
  </si>
  <si>
    <t>CHAN_1_11_3</t>
  </si>
  <si>
    <t>CHAN_1_13_3</t>
  </si>
  <si>
    <t>CHAN_5170_5330_2</t>
  </si>
  <si>
    <t>CHAN_5250_5330_10</t>
  </si>
  <si>
    <t>CHAN_5735_5835_7</t>
  </si>
  <si>
    <t>CHAN_5170_5250_9</t>
  </si>
  <si>
    <t>CHAN_5250_5330_13</t>
  </si>
  <si>
    <t>CHAN_5735_5875_2</t>
  </si>
  <si>
    <t>CHAN_5250_5330_8</t>
  </si>
  <si>
    <t>CHAN_5650_5730_3</t>
  </si>
  <si>
    <t>CHAN_5735_5875_3</t>
  </si>
  <si>
    <t>CHAN_5170_5250_8</t>
  </si>
  <si>
    <t>CHAN_5250_5330_12</t>
  </si>
  <si>
    <t>CHAN_5170_5250_7</t>
  </si>
  <si>
    <t>CHAN_5250_5330_11</t>
  </si>
  <si>
    <t>0xE4</t>
  </si>
  <si>
    <t>0xE6</t>
  </si>
  <si>
    <t>0x4F</t>
  </si>
  <si>
    <t>0xE0</t>
  </si>
  <si>
    <t>0x71</t>
  </si>
  <si>
    <t>0xE5</t>
  </si>
  <si>
    <t>0xE3</t>
  </si>
  <si>
    <t>0xDF</t>
  </si>
  <si>
    <t>CHAN_5250_5330_9</t>
  </si>
  <si>
    <t>CHAN_5835_5855_1</t>
  </si>
  <si>
    <t>CHAN_5855_5875_1</t>
  </si>
  <si>
    <t>FCCB_id</t>
  </si>
  <si>
    <t>ETSID_id</t>
  </si>
  <si>
    <t>FCC13_id</t>
  </si>
  <si>
    <t>FCC14_id</t>
  </si>
  <si>
    <t>APL11_id</t>
  </si>
  <si>
    <t>APL17_id</t>
  </si>
  <si>
    <t>APL19_id</t>
  </si>
  <si>
    <t>APL20_id</t>
  </si>
  <si>
    <t>APL23_id</t>
  </si>
  <si>
    <t>MKK16_id</t>
  </si>
  <si>
    <t>CHAN_5735_5875_4</t>
  </si>
  <si>
    <t>ETSI13_WORLD</t>
  </si>
  <si>
    <t>ETSI12_WORLD</t>
  </si>
  <si>
    <t>0x28</t>
  </si>
  <si>
    <t>0x27</t>
  </si>
  <si>
    <t>ETSI12_id</t>
  </si>
  <si>
    <t>ETSI13_id</t>
  </si>
  <si>
    <t>FCC5_id</t>
  </si>
  <si>
    <t>CHAN_5735_5875_5</t>
  </si>
  <si>
    <t>ETSI14_id</t>
  </si>
  <si>
    <t>ETSI14_WORLD</t>
  </si>
  <si>
    <t>0x29</t>
  </si>
  <si>
    <t>CHAN_1_13_4</t>
  </si>
  <si>
    <t>CHAN_5850_5925_1</t>
  </si>
  <si>
    <t>AF</t>
  </si>
  <si>
    <t>AL</t>
  </si>
  <si>
    <t>DZ</t>
  </si>
  <si>
    <t>AS</t>
  </si>
  <si>
    <t>AI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</si>
  <si>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</si>
  <si>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</si>
  <si>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</si>
  <si>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</si>
  <si>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</si>
  <si>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</si>
  <si>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</si>
  <si>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</si>
  <si>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</si>
  <si>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</si>
  <si>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</si>
  <si>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</si>
  <si>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</si>
  <si>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BM</t>
  </si>
  <si>
    <t>BT</t>
  </si>
  <si>
    <t>BO</t>
  </si>
  <si>
    <t>BA</t>
  </si>
  <si>
    <t>BR</t>
  </si>
  <si>
    <t>BN</t>
  </si>
  <si>
    <t>BG</t>
  </si>
  <si>
    <t>BF</t>
  </si>
  <si>
    <t>KH</t>
  </si>
  <si>
    <t>CA</t>
  </si>
  <si>
    <t>KY</t>
  </si>
  <si>
    <t>CF</t>
  </si>
  <si>
    <t>TD</t>
  </si>
  <si>
    <t>CL</t>
  </si>
  <si>
    <t>CN</t>
  </si>
  <si>
    <t>CX</t>
  </si>
  <si>
    <t>CO</t>
  </si>
  <si>
    <t>CR</t>
  </si>
  <si>
    <t>CI</t>
  </si>
  <si>
    <t>HR</t>
  </si>
  <si>
    <t>CY</t>
  </si>
  <si>
    <t>CZ</t>
  </si>
  <si>
    <t>DK</t>
  </si>
  <si>
    <t>DM</t>
  </si>
  <si>
    <t>DO</t>
  </si>
  <si>
    <t>EC</t>
  </si>
  <si>
    <t>EG</t>
  </si>
  <si>
    <t>SV</t>
  </si>
  <si>
    <t>EE</t>
  </si>
  <si>
    <t>ET</t>
  </si>
  <si>
    <t>FI</t>
  </si>
  <si>
    <t>FR</t>
  </si>
  <si>
    <t>GF</t>
  </si>
  <si>
    <t>PF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</si>
  <si>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</si>
  <si>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</si>
  <si>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</si>
  <si>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</si>
  <si>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</si>
  <si>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</si>
  <si>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</si>
  <si>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</si>
  <si>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</si>
  <si>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</si>
  <si>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GY</t>
  </si>
  <si>
    <t>HT</t>
  </si>
  <si>
    <t>HN</t>
  </si>
  <si>
    <t>HK</t>
  </si>
  <si>
    <t>HU</t>
  </si>
  <si>
    <t>IS</t>
  </si>
  <si>
    <t>IN</t>
  </si>
  <si>
    <t>ID</t>
  </si>
  <si>
    <t>IQ</t>
  </si>
  <si>
    <t>IE</t>
  </si>
  <si>
    <t>IL</t>
  </si>
  <si>
    <t>IT</t>
  </si>
  <si>
    <t>JM</t>
  </si>
  <si>
    <t>JO</t>
  </si>
  <si>
    <t>KZ</t>
  </si>
  <si>
    <t>KE</t>
  </si>
  <si>
    <t>KR</t>
  </si>
  <si>
    <t>KW</t>
  </si>
  <si>
    <t>LV</t>
  </si>
  <si>
    <t>LB</t>
  </si>
  <si>
    <t>LS</t>
  </si>
  <si>
    <t>LI</t>
  </si>
  <si>
    <t>LT</t>
  </si>
  <si>
    <t>LU</t>
  </si>
  <si>
    <t>MO</t>
  </si>
  <si>
    <t>MK</t>
  </si>
  <si>
    <t>MW</t>
  </si>
  <si>
    <t>MY</t>
  </si>
  <si>
    <t>MV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</si>
  <si>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</si>
  <si>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</si>
  <si>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</si>
  <si>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</si>
  <si>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</si>
  <si>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</si>
  <si>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</si>
  <si>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</si>
  <si>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</si>
  <si>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</si>
  <si>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</si>
  <si>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</si>
  <si>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MA</t>
  </si>
  <si>
    <t>NA</t>
  </si>
  <si>
    <t>NP</t>
  </si>
  <si>
    <t>NL</t>
  </si>
  <si>
    <t>AN</t>
  </si>
  <si>
    <t>NZ</t>
  </si>
  <si>
    <t>NG</t>
  </si>
  <si>
    <t>MP</t>
  </si>
  <si>
    <t>NI</t>
  </si>
  <si>
    <t>NO</t>
  </si>
  <si>
    <t>OM</t>
  </si>
  <si>
    <t>PK</t>
  </si>
  <si>
    <t>PW</t>
  </si>
  <si>
    <t>PA</t>
  </si>
  <si>
    <t>PG</t>
  </si>
  <si>
    <t>PY</t>
  </si>
  <si>
    <t>PE</t>
  </si>
  <si>
    <t>PH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</si>
  <si>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</si>
  <si>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</si>
  <si>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</si>
  <si>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</si>
  <si>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</si>
  <si>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</si>
  <si>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</si>
  <si>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</si>
  <si>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</si>
  <si>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KN</t>
  </si>
  <si>
    <t>LC</t>
  </si>
  <si>
    <t>MF</t>
  </si>
  <si>
    <t>PM</t>
  </si>
  <si>
    <t>VC</t>
  </si>
  <si>
    <t>WS</t>
  </si>
  <si>
    <t>SA</t>
  </si>
  <si>
    <t>SN</t>
  </si>
  <si>
    <t>RS</t>
  </si>
  <si>
    <t>SG</t>
  </si>
  <si>
    <t>SK</t>
  </si>
  <si>
    <t>SI</t>
  </si>
  <si>
    <t>ZA</t>
  </si>
  <si>
    <t>ES</t>
  </si>
  <si>
    <t>SR</t>
  </si>
  <si>
    <t>LK</t>
  </si>
  <si>
    <t>SE</t>
  </si>
  <si>
    <t>CH</t>
  </si>
  <si>
    <t>TW</t>
  </si>
  <si>
    <t>TZ</t>
  </si>
  <si>
    <t>TH</t>
  </si>
  <si>
    <t>TG</t>
  </si>
  <si>
    <t>TT</t>
  </si>
  <si>
    <t>TN</t>
  </si>
  <si>
    <t>TR</t>
  </si>
  <si>
    <t>TC</t>
  </si>
  <si>
    <t>UG</t>
  </si>
  <si>
    <t>UA</t>
  </si>
  <si>
    <t>AE</t>
  </si>
  <si>
    <t>GB</t>
  </si>
  <si>
    <t>US</t>
  </si>
  <si>
    <t>UY</t>
  </si>
  <si>
    <t>UZ</t>
  </si>
  <si>
    <t>VU</t>
  </si>
  <si>
    <t>VE</t>
  </si>
  <si>
    <t>VN</t>
  </si>
  <si>
    <t>VI</t>
  </si>
  <si>
    <t>WF</t>
  </si>
  <si>
    <t>YE</t>
  </si>
  <si>
    <t>ZW</t>
  </si>
  <si>
    <t>JP</t>
  </si>
  <si>
    <t>CHAN_5850_5925_2</t>
  </si>
  <si>
    <t>CHAN_5735_5835_8</t>
  </si>
  <si>
    <t>FCC10_id</t>
  </si>
  <si>
    <t>ETSI10_id</t>
  </si>
  <si>
    <t>CHAN_12_12_1</t>
  </si>
  <si>
    <t>FCC9_FCCA</t>
  </si>
  <si>
    <t>FCC10_FCCA</t>
  </si>
  <si>
    <t>ETSI10_WORLD</t>
  </si>
  <si>
    <t>0x17</t>
  </si>
  <si>
    <t>0x18</t>
  </si>
  <si>
    <t>0x24</t>
  </si>
  <si>
    <t>STARTFREQ</t>
  </si>
  <si>
    <t>ENDFREQ</t>
  </si>
  <si>
    <t>Please Update this field with latest version and mention the changes below. Do not move this field as it is used by the tool to update the BDF files</t>
  </si>
  <si>
    <t>channel</t>
  </si>
  <si>
    <t>ETSI15_id</t>
  </si>
  <si>
    <t>ETSI10_FCCA</t>
  </si>
  <si>
    <t>0x25</t>
  </si>
  <si>
    <t>ETSI15_WORLD</t>
  </si>
  <si>
    <t>CTRY_MYANMAR</t>
  </si>
  <si>
    <t>MM</t>
  </si>
  <si>
    <t>COUNTRYCODEENUM</t>
  </si>
  <si>
    <t>CHAN_5250_5330_14</t>
  </si>
  <si>
    <t>CHAN_5735_5835_9</t>
  </si>
  <si>
    <t>CHAN_5735_5815_2</t>
  </si>
  <si>
    <t>regDbVersionMajor</t>
  </si>
  <si>
    <t>MKK6_MKKC</t>
  </si>
  <si>
    <t>0x89</t>
  </si>
  <si>
    <t>MKK6_id</t>
  </si>
  <si>
    <t>CTRY_ALAND_ISLANDS</t>
  </si>
  <si>
    <t>CTRY_ANDORRA</t>
  </si>
  <si>
    <t>CTRY_ANTIGUA_AND_BARBUDA</t>
  </si>
  <si>
    <t>CTRY_CAMEROON</t>
  </si>
  <si>
    <t>CTRY_COOK_ISLANDS</t>
  </si>
  <si>
    <t>CTRY_FALKLAND_ISLANDS</t>
  </si>
  <si>
    <t>CTRY_FAROE_ISLANDS</t>
  </si>
  <si>
    <t>CTRY_FRENCH_SOUTHERN_TERRITORIES</t>
  </si>
  <si>
    <t>CTRY_GUERNSEY</t>
  </si>
  <si>
    <t>CTRY_HEARD_ISLAND_AND_MCDONALD_ISLANDS</t>
  </si>
  <si>
    <t>CTRY_HOLY_SEE</t>
  </si>
  <si>
    <t>CTRY_ISLE_OF_MAN</t>
  </si>
  <si>
    <t>CTRY_JERSEY</t>
  </si>
  <si>
    <t>CTRY_MONTSERRAT</t>
  </si>
  <si>
    <t>CTRY_NEW_CALEDONIA</t>
  </si>
  <si>
    <t>CTRY_NIUE</t>
  </si>
  <si>
    <t>CTRY_NORFOLK_ISLAND</t>
  </si>
  <si>
    <t>CTRY_SAINT_HELENA_ASCENSION_AND_TRISTAN_DA_CUNHA</t>
  </si>
  <si>
    <t>CTRY_SAN_MARINO</t>
  </si>
  <si>
    <t>CTRY_SAO_TOME_AND_PRINCIPE</t>
  </si>
  <si>
    <t>CTRY_SINT_MAARTEN</t>
  </si>
  <si>
    <t>CTRY_SVALBARD_AND_JAN_MAYEN</t>
  </si>
  <si>
    <t>CTRY_UNITED_STATES_MINOR_OUTLYING_ISLANDS</t>
  </si>
  <si>
    <t>CTRY_VIRGIN_ISLANDS_BRITISH</t>
  </si>
  <si>
    <t>APL9_MKKC</t>
  </si>
  <si>
    <t>APL9_KRRA</t>
  </si>
  <si>
    <t>0x48</t>
  </si>
  <si>
    <t>0x43</t>
  </si>
  <si>
    <t>MKK17_MKKC</t>
  </si>
  <si>
    <t>0xE1</t>
  </si>
  <si>
    <t>AX</t>
  </si>
  <si>
    <t>AD</t>
  </si>
  <si>
    <t>AG</t>
  </si>
  <si>
    <t>CM</t>
  </si>
  <si>
    <t>CK</t>
  </si>
  <si>
    <t>FK</t>
  </si>
  <si>
    <t>FO</t>
  </si>
  <si>
    <t>TF</t>
  </si>
  <si>
    <t>GG</t>
  </si>
  <si>
    <t>HM</t>
  </si>
  <si>
    <t>VA</t>
  </si>
  <si>
    <t>IM</t>
  </si>
  <si>
    <t>JE</t>
  </si>
  <si>
    <t>MS</t>
  </si>
  <si>
    <t>NC</t>
  </si>
  <si>
    <t>NU</t>
  </si>
  <si>
    <t>NF</t>
  </si>
  <si>
    <t>SH</t>
  </si>
  <si>
    <t>SM</t>
  </si>
  <si>
    <t>ST</t>
  </si>
  <si>
    <t>SX</t>
  </si>
  <si>
    <t>SJ</t>
  </si>
  <si>
    <t>UM</t>
  </si>
  <si>
    <t>VG</t>
  </si>
  <si>
    <t>KRRA_id</t>
  </si>
  <si>
    <t>MKK17_id</t>
  </si>
  <si>
    <t>CTL</t>
  </si>
  <si>
    <t>VALUE IN DECIMAL</t>
  </si>
  <si>
    <t>0x40</t>
  </si>
  <si>
    <t>0xff</t>
  </si>
  <si>
    <t>CTL_11B</t>
  </si>
  <si>
    <t>0x01</t>
  </si>
  <si>
    <t>CTL_11G</t>
  </si>
  <si>
    <t>0x02</t>
  </si>
  <si>
    <t>CTL_KOR</t>
  </si>
  <si>
    <t>CTL_CHN</t>
  </si>
  <si>
    <t>CTL_USER_DEF</t>
  </si>
  <si>
    <t>APL2_ETSID</t>
  </si>
  <si>
    <t>APL16_ETSIC</t>
  </si>
  <si>
    <t>APL17_ETSIC</t>
  </si>
  <si>
    <t>APL24_ETSIC</t>
  </si>
  <si>
    <t>APL24_id</t>
  </si>
  <si>
    <t>CHAN_1_13_5</t>
  </si>
  <si>
    <t>CHAN_5735_5815_3</t>
  </si>
  <si>
    <t>CHAN_5735_5815_4</t>
  </si>
  <si>
    <t>0x41</t>
  </si>
  <si>
    <t>0x6D</t>
  </si>
  <si>
    <t>0xE7</t>
  </si>
  <si>
    <t>0xE2</t>
  </si>
  <si>
    <t>REGULATORY_CHAN_AFC</t>
  </si>
  <si>
    <t>FCC8_WORLD</t>
  </si>
  <si>
    <t>0x09</t>
  </si>
  <si>
    <t>CHAN_5170_5250_10</t>
  </si>
  <si>
    <t>CHAN_5250_5330_15</t>
  </si>
  <si>
    <t>CHAN_5250_5330_16</t>
  </si>
  <si>
    <t>2G_HALPHY_INTERNALenum</t>
  </si>
  <si>
    <t>5G_HALPHY_INTERNALenum</t>
  </si>
  <si>
    <t>PAIR_ID</t>
  </si>
  <si>
    <t>DFS_MKKN_REG</t>
  </si>
  <si>
    <t>FCC15_id</t>
  </si>
  <si>
    <t>FCC16_id</t>
  </si>
  <si>
    <t>FCC15_FCCA</t>
  </si>
  <si>
    <t>FCC16_FCCA</t>
  </si>
  <si>
    <t>0xEA</t>
  </si>
  <si>
    <t>0xE8</t>
  </si>
  <si>
    <t>J15</t>
  </si>
  <si>
    <t>ETSI16_id</t>
  </si>
  <si>
    <t>ETSI16_WORLD</t>
  </si>
  <si>
    <t>CHAN_5945_7125_1</t>
  </si>
  <si>
    <t>CHAN_5945_7125_2</t>
  </si>
  <si>
    <t>0x4A</t>
  </si>
  <si>
    <t>CTRY_CURACAO</t>
  </si>
  <si>
    <t>CW</t>
  </si>
  <si>
    <t>CHAN_5170_5250_11</t>
  </si>
  <si>
    <t>SUPER_DOMAIN_6G</t>
  </si>
  <si>
    <t>MAX_BW_6G</t>
  </si>
  <si>
    <t>FCC_6G_1</t>
  </si>
  <si>
    <t>NULL_6G</t>
  </si>
  <si>
    <t>ETSI_6G_1</t>
  </si>
  <si>
    <t>ETSI_6G_2</t>
  </si>
  <si>
    <t>AP_SP_InternalEnum</t>
  </si>
  <si>
    <t>AP_LPI_InternalEnum</t>
  </si>
  <si>
    <t>AP_VLP_InternalEnum</t>
  </si>
  <si>
    <t>CLIENT1_SP_InternalEnum</t>
  </si>
  <si>
    <t>CLIENT1_LPI_InternalEnum</t>
  </si>
  <si>
    <t>CLIENT1_VLP_InternalEnum</t>
  </si>
  <si>
    <t>CLIENT2_LPI_InternalEnum</t>
  </si>
  <si>
    <t>CLIENT2_SP_InternalEnum</t>
  </si>
  <si>
    <t>CLIENT2_VLP_InternalEnum</t>
  </si>
  <si>
    <t>NULL_6G_ID</t>
  </si>
  <si>
    <t>FCC1_6G_AP_LPI</t>
  </si>
  <si>
    <t>FCC1_6G_CLIENT1_LPI</t>
  </si>
  <si>
    <t>FCC1_6G_CLIENT1_SP</t>
  </si>
  <si>
    <t>CHAN_6525_6885_1</t>
  </si>
  <si>
    <t>PSD (dBm/MHz)</t>
  </si>
  <si>
    <t>EIRP (dBm)</t>
  </si>
  <si>
    <t>PSD_PWR</t>
  </si>
  <si>
    <t>NULL_5G_ID</t>
  </si>
  <si>
    <t>NULL_2G_ID</t>
  </si>
  <si>
    <t>PAD</t>
  </si>
  <si>
    <t>HALPHY_INTERNALenum</t>
  </si>
  <si>
    <t>REGDB_CODE</t>
  </si>
  <si>
    <t>NULL_6G_ID_CODE</t>
  </si>
  <si>
    <t>FCC1_6G_CLIENT1_LPI_CODE</t>
  </si>
  <si>
    <t>FCC1_6G_CLIENT_SP_CODE</t>
  </si>
  <si>
    <t>FCC1_6G_AP_LPI_CODE</t>
  </si>
  <si>
    <t>ETSI2_6G_AP_LPI</t>
  </si>
  <si>
    <t>ETSI2_6G_AP_VLP</t>
  </si>
  <si>
    <t>ETSI2_6G_AP_VLP_CODE</t>
  </si>
  <si>
    <t>ETSI2_6G_AP_LPI_CODE</t>
  </si>
  <si>
    <t>APL_6G_1</t>
  </si>
  <si>
    <t>0x04</t>
  </si>
  <si>
    <t>APL1_6G_AP_LPI</t>
  </si>
  <si>
    <t>APL1_6G_AP_VLP</t>
  </si>
  <si>
    <t>APL1_6G_AP_LPI_CODE</t>
  </si>
  <si>
    <t>APL1_6G_AP_VLP_CODE</t>
  </si>
  <si>
    <t>CHAN_5945_7125_3</t>
  </si>
  <si>
    <t>CHAN_5945_6425_2</t>
  </si>
  <si>
    <t>CHAN_5945_6425_3</t>
  </si>
  <si>
    <t>CHAN_5945_6425_4</t>
  </si>
  <si>
    <t>APL_6G_2</t>
  </si>
  <si>
    <t>0x06</t>
  </si>
  <si>
    <t>APL2_6G_AP_LPI</t>
  </si>
  <si>
    <t>APL2_6G_AP_VLP</t>
  </si>
  <si>
    <t>APL2_6G_AP_LPI_CODE</t>
  </si>
  <si>
    <t>APL2_6G_AP_VLP_CODE</t>
  </si>
  <si>
    <t>FCC14_WORLD</t>
  </si>
  <si>
    <t>0xD1</t>
  </si>
  <si>
    <t>FCC_6G_1_CL</t>
  </si>
  <si>
    <t>0x05</t>
  </si>
  <si>
    <t>CHAN_5925_6425_1</t>
  </si>
  <si>
    <t>CHAN_6425_6525_4</t>
  </si>
  <si>
    <t>APL</t>
  </si>
  <si>
    <t>0X80</t>
  </si>
  <si>
    <t>CHAN_5945_6425_9</t>
  </si>
  <si>
    <t>CHAN_6425_6525_3</t>
  </si>
  <si>
    <t>CHAN_6525_6875_5</t>
  </si>
  <si>
    <t>CHAN_6875_7125_3</t>
  </si>
  <si>
    <t>CHAN_5945_6425_10</t>
  </si>
  <si>
    <t>ETSI17_WORLD</t>
  </si>
  <si>
    <t>0x4B</t>
  </si>
  <si>
    <t>ETSI17_id</t>
  </si>
  <si>
    <t>CHAN_5735_5835_10</t>
  </si>
  <si>
    <t>CHAN_5835_5855_2</t>
  </si>
  <si>
    <t>XA</t>
  </si>
  <si>
    <t>CHAN_5735_5895_1</t>
  </si>
  <si>
    <t>APL3_6G_AP_LPI_CODE</t>
  </si>
  <si>
    <t>APL3_6G_AP_VLP_CODE</t>
  </si>
  <si>
    <t>CHAN_6525_6875_1</t>
  </si>
  <si>
    <t>FCC17_id</t>
  </si>
  <si>
    <t>FCC17_WORLD</t>
  </si>
  <si>
    <t>0xEB</t>
  </si>
  <si>
    <t>FCC17_FCCA</t>
  </si>
  <si>
    <t>0xE9</t>
  </si>
  <si>
    <t>FCC17_ETSIC</t>
  </si>
  <si>
    <t>0xEC</t>
  </si>
  <si>
    <t>FCC18_ETSIC</t>
  </si>
  <si>
    <t>0xED</t>
  </si>
  <si>
    <t>FCC18_id</t>
  </si>
  <si>
    <t>CTRY_CONGO</t>
  </si>
  <si>
    <t>CTRY_CONGO_DEMOCRATIC_REPUBLIC</t>
  </si>
  <si>
    <t>CG</t>
  </si>
  <si>
    <t>CD</t>
  </si>
  <si>
    <t>CHAN_5170_5250_12</t>
  </si>
  <si>
    <t>CHAN_5735_5895_2</t>
  </si>
  <si>
    <t>CHAN_5945_7125_4</t>
  </si>
  <si>
    <t>WORLD_6G_1</t>
  </si>
  <si>
    <t>WOR1_6G_AP_LPI</t>
  </si>
  <si>
    <t>WOR1_6G_CLIENT1_SP</t>
  </si>
  <si>
    <t>WOR1_6G_CLIENT1_LPI</t>
  </si>
  <si>
    <t>CHAN_5945_7125_5</t>
  </si>
  <si>
    <t>CHAN_5945_6425_5</t>
  </si>
  <si>
    <t>CHAN_6525_6875_2</t>
  </si>
  <si>
    <t>WOR1_6G_CLIENT_SP_CODE</t>
  </si>
  <si>
    <t>WOR1_6G_CLIENT1_LPI_CODE</t>
  </si>
  <si>
    <t>WOR1_6G_AP_LPI_CODE</t>
  </si>
  <si>
    <t>CHAN_6525_7125_1</t>
  </si>
  <si>
    <t>BW_CODE</t>
  </si>
  <si>
    <t>HALPHY_BW_20MHZ</t>
  </si>
  <si>
    <t>HALPHY_BW_40MHZ</t>
  </si>
  <si>
    <t>HALPHY_BW_80MHZ</t>
  </si>
  <si>
    <t>HALPHY_BW_160MHZ</t>
  </si>
  <si>
    <t>HALPHY_BW_240MHZ</t>
  </si>
  <si>
    <t>HALPHY_BW_320MHZ</t>
  </si>
  <si>
    <t>APL26_ETSIC</t>
  </si>
  <si>
    <t>0x72</t>
  </si>
  <si>
    <t>APL26_id</t>
  </si>
  <si>
    <t>APL14_CHNA</t>
  </si>
  <si>
    <t>0x74</t>
  </si>
  <si>
    <t>APL27_FCCA</t>
  </si>
  <si>
    <t>0x73</t>
  </si>
  <si>
    <t>APL27_id</t>
  </si>
  <si>
    <t>CHNA_id</t>
  </si>
  <si>
    <t>APL25_ETSIC</t>
  </si>
  <si>
    <t>APL25_id</t>
  </si>
  <si>
    <t>CHAN_5735_5875_6</t>
  </si>
  <si>
    <t>CHAN_5650_5730_4</t>
  </si>
  <si>
    <t>CHAN_5170_5250_13</t>
  </si>
  <si>
    <t>CHAN_5925_7125_1</t>
  </si>
  <si>
    <t>CHAN_5925_6425_3</t>
  </si>
  <si>
    <t>CHAN_5925_7125_2</t>
  </si>
  <si>
    <t>CHAN_5945_7125_6</t>
  </si>
  <si>
    <t>CHAN_5945_6425_6</t>
  </si>
  <si>
    <t>CHAN_5945_6425_7</t>
  </si>
  <si>
    <t>CHAN_5925_6425_2</t>
  </si>
  <si>
    <t>CHAN_5925_6765_1</t>
  </si>
  <si>
    <t>CHAN_5925_7125_3</t>
  </si>
  <si>
    <t>CHAN_5925_7125_4</t>
  </si>
  <si>
    <t>CHAN_5925_7125_5</t>
  </si>
  <si>
    <t>ETSI1_6G_AP_LPI</t>
  </si>
  <si>
    <t>ETSI1_6G_AP_VLP</t>
  </si>
  <si>
    <t>APL3_6G_AP_VLP</t>
  </si>
  <si>
    <t>APL3_6G_AP_LPI</t>
  </si>
  <si>
    <t>FCC2_6G_SP</t>
  </si>
  <si>
    <t>APL4_6G_LPI</t>
  </si>
  <si>
    <t>APL4_6G_VLP</t>
  </si>
  <si>
    <t>APL5_6G_VLP</t>
  </si>
  <si>
    <t>APL_6G_3</t>
  </si>
  <si>
    <t>APL_6G_3_UAE</t>
  </si>
  <si>
    <t>FCC_6G_2</t>
  </si>
  <si>
    <t>0x0A</t>
  </si>
  <si>
    <t>APL_6G_4</t>
  </si>
  <si>
    <t>0x0B</t>
  </si>
  <si>
    <t>FCC_6G_2_CL</t>
  </si>
  <si>
    <t>0x0C</t>
  </si>
  <si>
    <t>ETSI1_6G_AP_LPI_CODE</t>
  </si>
  <si>
    <t>ETSI1_6G_AP_VLP_CODE</t>
  </si>
  <si>
    <t>FCC2_6G_SP_CODE</t>
  </si>
  <si>
    <t>APL4_6G_LPI_CODE</t>
  </si>
  <si>
    <t>APL4_6G_VLP_CODE</t>
  </si>
  <si>
    <t>0x75</t>
  </si>
  <si>
    <t>CHAN_5250_5330_17</t>
  </si>
  <si>
    <t>CHAN_5250_5330_18</t>
  </si>
  <si>
    <t>ETSI15_ETSIC</t>
  </si>
  <si>
    <t>0x7A</t>
  </si>
  <si>
    <t>0x0D</t>
  </si>
  <si>
    <t>APL_6G_6</t>
  </si>
  <si>
    <t>APL6_6G_AP_LPI</t>
  </si>
  <si>
    <t>APL6_6G_CLIENT1_LPI</t>
  </si>
  <si>
    <t>APL6_6G_AP_LPI_CODE</t>
  </si>
  <si>
    <t>APL6_6G_CLIENT1_LPI_CODE</t>
  </si>
  <si>
    <t>CHAN_5925_7125_6</t>
  </si>
  <si>
    <t>APL5_6G_VLP_CODE</t>
  </si>
  <si>
    <t>CHAN_5500_5730_1</t>
  </si>
  <si>
    <t>CHAN_5500_5590_1</t>
  </si>
  <si>
    <t>CHAN_5500_5650_2</t>
  </si>
  <si>
    <t>CHAN_5500_5730_4</t>
  </si>
  <si>
    <t>CHAN_5500_5730_3</t>
  </si>
  <si>
    <t>CHAN_5500_5710_5</t>
  </si>
  <si>
    <t>CHAN_5500_5710_3</t>
  </si>
  <si>
    <t>CHAN_5500_5710_8</t>
  </si>
  <si>
    <t>CHAN_5500_5730_5</t>
  </si>
  <si>
    <t>CHAN_5500_5730_7</t>
  </si>
  <si>
    <t>CHAN_5500_5730_6</t>
  </si>
  <si>
    <t>CHAN_5500_5710_4</t>
  </si>
  <si>
    <t>CHAN_5500_5670_2</t>
  </si>
  <si>
    <t>CHAN_5500_5590_2</t>
  </si>
  <si>
    <t>CHAN_5500_5590_3</t>
  </si>
  <si>
    <t>CHAN_5500_5710_7</t>
  </si>
  <si>
    <t>CHAN_5500_5730_8</t>
  </si>
  <si>
    <t>CHAN_5500_5730_9</t>
  </si>
  <si>
    <t>CHAN_5500_5730_10</t>
  </si>
  <si>
    <t>CHAN_5500_5730_2</t>
  </si>
  <si>
    <t>CHAN_5500_5710_2</t>
  </si>
  <si>
    <t>CHAN_5500_5710_6</t>
  </si>
  <si>
    <t>CHAN_5500_5570_1</t>
  </si>
  <si>
    <t>CHAN_5500_5670_1</t>
  </si>
  <si>
    <t>CHAN_5500_5630_1</t>
  </si>
  <si>
    <t>CHAN_5500_5590_4</t>
  </si>
  <si>
    <t>CHAN_5170_5330_3</t>
  </si>
  <si>
    <t>CHAN_5925_7125_9</t>
  </si>
  <si>
    <t>CHAN_5925_7125_10</t>
  </si>
  <si>
    <t>CHAN_5170_5250_14</t>
  </si>
  <si>
    <t>CHAN_5735_5835_11</t>
  </si>
  <si>
    <t>CHAN_5735_5835_12</t>
  </si>
  <si>
    <t>CHAN_5250_5330_19</t>
  </si>
  <si>
    <t>CHAN_5735_5835_13</t>
  </si>
  <si>
    <t>CHAN_5170_5250_15</t>
  </si>
  <si>
    <t>CHAN_5250_5330_20</t>
  </si>
  <si>
    <t>CHAN_5170_5250_16</t>
  </si>
  <si>
    <t>CHAN_5250_5330_21</t>
  </si>
  <si>
    <t>CHAN_5735_5835_14</t>
  </si>
  <si>
    <t>ETSI_6G_3</t>
  </si>
  <si>
    <t>0x0E</t>
  </si>
  <si>
    <t>0x0F</t>
  </si>
  <si>
    <t>ETSI18_WORLD</t>
  </si>
  <si>
    <t>CTRY_BOTSWANA</t>
  </si>
  <si>
    <t>BW</t>
  </si>
  <si>
    <t>CTRY_BURUNDI</t>
  </si>
  <si>
    <t>BI</t>
  </si>
  <si>
    <t>CTRY_FIJI</t>
  </si>
  <si>
    <t>FJ</t>
  </si>
  <si>
    <t>CTRY_GABON</t>
  </si>
  <si>
    <t>GA</t>
  </si>
  <si>
    <t>CTRY_LAO_PEOPLE'S_DEMOCRATIC_REPUBLIC</t>
  </si>
  <si>
    <t>LA</t>
  </si>
  <si>
    <t>LY</t>
  </si>
  <si>
    <t>CTRY_ZAMBIA</t>
  </si>
  <si>
    <t>ZM</t>
  </si>
  <si>
    <t>FCC_6G_3</t>
  </si>
  <si>
    <t>ETSI18_id</t>
  </si>
  <si>
    <t>0x6E</t>
  </si>
  <si>
    <t>CHAN_5490_5710_1</t>
  </si>
  <si>
    <t>CHAN_5735_5855_1</t>
  </si>
  <si>
    <t>CHAN_5855_5875_2</t>
  </si>
  <si>
    <t>CHAN_5945_7125_7</t>
  </si>
  <si>
    <t>CHAN_5945_6425_8</t>
  </si>
  <si>
    <t>ETSI_6G_4</t>
  </si>
  <si>
    <t>MKK_6G_1</t>
  </si>
  <si>
    <t>MKK1_6G_AP_LPI</t>
  </si>
  <si>
    <t>MKK1_6G_AP_LPI_CODE</t>
  </si>
  <si>
    <t>MKK1_6G_AP_VLP</t>
  </si>
  <si>
    <t>CHAN_5170_5330_4</t>
  </si>
  <si>
    <t>CHAN_5490_5730_1</t>
  </si>
  <si>
    <t>CHAN_5735_5875_7</t>
  </si>
  <si>
    <t>APL28_id</t>
  </si>
  <si>
    <t>APL28_ETSIC</t>
  </si>
  <si>
    <t>0x76</t>
  </si>
  <si>
    <t>ETSI19_WORLD</t>
  </si>
  <si>
    <t>ETSI19_id</t>
  </si>
  <si>
    <t>CHAN_5170_5250_17</t>
  </si>
  <si>
    <t>CHAN_5250_5330_22</t>
  </si>
  <si>
    <t>CHAN_5490_5730_2</t>
  </si>
  <si>
    <t>CHAN_5735_5875_8</t>
  </si>
  <si>
    <t>0x7B</t>
  </si>
  <si>
    <t>CHAN_5945_6425_11</t>
  </si>
  <si>
    <t>CHAN_5945_6425_12</t>
  </si>
  <si>
    <t>MKK1_6G_AP_VLP_CODE</t>
  </si>
  <si>
    <t>CHAN_5500_5710_9</t>
  </si>
  <si>
    <t>CHAN_5170_5250_18</t>
  </si>
  <si>
    <t>CHAN_5250_5330_23</t>
  </si>
  <si>
    <t>CHAN_5500_5730_11</t>
  </si>
  <si>
    <t>CHAN_5735_5855_2</t>
  </si>
  <si>
    <t>CHAN_5855_5925_1</t>
  </si>
  <si>
    <t>CHAN_5170_5250_19</t>
  </si>
  <si>
    <t>CHAN_5855_5925_2</t>
  </si>
  <si>
    <t>ETSI20_WORLD</t>
  </si>
  <si>
    <t>FCC20_FCCA</t>
  </si>
  <si>
    <t>APL_6G_7</t>
  </si>
  <si>
    <t>FCC_6G_4</t>
  </si>
  <si>
    <t>APL29_ETSIC</t>
  </si>
  <si>
    <t>ETSI20_id</t>
  </si>
  <si>
    <t>FCC20_id</t>
  </si>
  <si>
    <t>APL29_id</t>
  </si>
  <si>
    <t>APL7_6G_AP_LPI</t>
  </si>
  <si>
    <t>APL7_6G_VLP</t>
  </si>
  <si>
    <t>APL7_6G_CLIENT1_LPI</t>
  </si>
  <si>
    <t>FCC4_6G_VLP</t>
  </si>
  <si>
    <t>CHAN_5170_5250_20</t>
  </si>
  <si>
    <t>CHAN_5250_5330_24</t>
  </si>
  <si>
    <t>CHAN_5735_5835_15</t>
  </si>
  <si>
    <t>CHAN_5170_5250_21</t>
  </si>
  <si>
    <t>CHAN_5250_5330_25</t>
  </si>
  <si>
    <t>CHAN_5945_6425_13</t>
  </si>
  <si>
    <t>CHAN_5945_6425_14</t>
  </si>
  <si>
    <t>CHAN_5945_6425_15</t>
  </si>
  <si>
    <t>CHAN_5925_6425_4</t>
  </si>
  <si>
    <t>CHAN_6425_6525_5</t>
  </si>
  <si>
    <t>CHAN_6525_6875_3</t>
  </si>
  <si>
    <t>CHAN_6875_7125_4</t>
  </si>
  <si>
    <t>0x7C</t>
  </si>
  <si>
    <t>0xEF</t>
  </si>
  <si>
    <t>0x77</t>
  </si>
  <si>
    <t>CHAN_5735_5855_3</t>
  </si>
  <si>
    <t>CHAN_5170_5250_22</t>
  </si>
  <si>
    <t>CHAN_5250_5330_26</t>
  </si>
  <si>
    <t>CHAN_5490_5710_10</t>
  </si>
  <si>
    <t>CHAN_5735_5835_16</t>
  </si>
  <si>
    <t>APL7_6G_AP_LPI_CODE</t>
  </si>
  <si>
    <t>APL7_6G_VLP_CODE</t>
  </si>
  <si>
    <t>APL7_6G_CLIENT1_LPI_CODE</t>
  </si>
  <si>
    <t>FCC4_6G_VLP_CODE</t>
  </si>
  <si>
    <t>CHAN_5925_7125_11</t>
  </si>
  <si>
    <t>CHAN_5170_5250_23</t>
  </si>
  <si>
    <t>CHAN_5250_5330_27</t>
  </si>
  <si>
    <t>CHAN_5735_5835_17</t>
  </si>
  <si>
    <t>REGULATORY_PHYMODE_NO11BE</t>
  </si>
  <si>
    <t>CHAN_6525_7125_2</t>
  </si>
  <si>
    <t>FCC_6G_5</t>
  </si>
  <si>
    <t>APL_6G_8</t>
  </si>
  <si>
    <t>FCC2_6G_CLIENT1_SP</t>
  </si>
  <si>
    <t>APL6_6G_VLP</t>
  </si>
  <si>
    <t>CHAN_5170_5250_24</t>
  </si>
  <si>
    <t>CHAN_5500_5730_12</t>
  </si>
  <si>
    <t>CHAN_5500_5710_10</t>
  </si>
  <si>
    <t>CHAN_6425_6525_6</t>
  </si>
  <si>
    <t>CHAN_6525_6875_4</t>
  </si>
  <si>
    <t>CHAN_5925_6425_5</t>
  </si>
  <si>
    <t>0x15</t>
  </si>
  <si>
    <t>FCC2_6G_CLIENT1_SP_CODE</t>
  </si>
  <si>
    <t>APL6_6G_VLP_CODE</t>
  </si>
  <si>
    <t>CHAN_5250_5330_28</t>
  </si>
  <si>
    <t>CHAN_5925_6525_1</t>
  </si>
  <si>
    <t>CHAN_6525_7125_3</t>
  </si>
  <si>
    <t>FCC_6G_6</t>
  </si>
  <si>
    <t>ETSI22_ETSIC</t>
  </si>
  <si>
    <t>ETSI22_WORLD</t>
  </si>
  <si>
    <t>ETSI22_id</t>
  </si>
  <si>
    <t>FCC3_6G_SP</t>
  </si>
  <si>
    <t>CHAN_5925_6425_6</t>
  </si>
  <si>
    <t>CHAN_6525_6875_6</t>
  </si>
  <si>
    <t>FCC3_6G_SP_CODE</t>
  </si>
  <si>
    <t>0x8A</t>
  </si>
  <si>
    <t>0x7F</t>
  </si>
  <si>
    <t>CHAN_5170_5250_25</t>
  </si>
  <si>
    <t>CHAN_5250_5330_29</t>
  </si>
  <si>
    <t>CHAN_5850_5875_1</t>
  </si>
  <si>
    <t>MKK2_6G_AP_LPI</t>
  </si>
  <si>
    <t>MKK2_6G_AP_VLP</t>
  </si>
  <si>
    <t>MKK_6G_2</t>
  </si>
  <si>
    <t>MKK2_6G_AP_LPI_CODE</t>
  </si>
  <si>
    <t>MKK2_6G_AP_VLP_CODE</t>
  </si>
  <si>
    <t>ETSI24_WORLD</t>
  </si>
  <si>
    <t>ETSI24_id</t>
  </si>
  <si>
    <t>CHAN_5735_5835_18</t>
  </si>
  <si>
    <t>0x2D</t>
  </si>
  <si>
    <t>regDbSubVer</t>
  </si>
  <si>
    <t>regDbCustomVer</t>
  </si>
  <si>
    <t>C2C_INDOOR_AP_InternalEnum</t>
  </si>
  <si>
    <t>C2C_INDOOR_CLIENT_InternalEnum</t>
  </si>
  <si>
    <t>C2C_PRIOR_CHAN</t>
  </si>
  <si>
    <t>CTRY_ANGOLA</t>
  </si>
  <si>
    <t>AO</t>
  </si>
  <si>
    <t>CTRY_ANTARCTIA</t>
  </si>
  <si>
    <t>AQ</t>
  </si>
  <si>
    <t>CTRY_BENIN</t>
  </si>
  <si>
    <t>BJ</t>
  </si>
  <si>
    <t>CTRY_BONAIRE_SINT_EUSTATIUS_SABA</t>
  </si>
  <si>
    <t>BQ</t>
  </si>
  <si>
    <t>CTRY_BOUVET_ISLAND</t>
  </si>
  <si>
    <t>BV</t>
  </si>
  <si>
    <t>CTRY_BRITISH_INDIAN_OCEAN_TERRITORY</t>
  </si>
  <si>
    <t>IO</t>
  </si>
  <si>
    <t>CTRY_CABO_VERDE</t>
  </si>
  <si>
    <t>CV</t>
  </si>
  <si>
    <t>CTRY_COCOS_KEELING_ISLANDS</t>
  </si>
  <si>
    <t>CC</t>
  </si>
  <si>
    <t>CTRY_COMOROS</t>
  </si>
  <si>
    <t>KM</t>
  </si>
  <si>
    <t>CTRY_DJIBOUTI</t>
  </si>
  <si>
    <t>DJ</t>
  </si>
  <si>
    <t>CTRY_EQUATORIAL_GUINEA</t>
  </si>
  <si>
    <t>GQ</t>
  </si>
  <si>
    <t>CTRY_ERITREA</t>
  </si>
  <si>
    <t>ER</t>
  </si>
  <si>
    <t>CTRY_ESWATINI</t>
  </si>
  <si>
    <t>ETSI25_WORLD</t>
  </si>
  <si>
    <t>SZ</t>
  </si>
  <si>
    <t>CTRY_GAMBIA</t>
  </si>
  <si>
    <t>GM</t>
  </si>
  <si>
    <t>CTRY_GUINEA</t>
  </si>
  <si>
    <t>GN</t>
  </si>
  <si>
    <t>CTRY_GUINEA_BISSAU</t>
  </si>
  <si>
    <t>GW</t>
  </si>
  <si>
    <t>CTRY_LIBERIA</t>
  </si>
  <si>
    <t>LR</t>
  </si>
  <si>
    <t>CTRY_MADAGASCAR</t>
  </si>
  <si>
    <t>ETSI26_WORLD</t>
  </si>
  <si>
    <t>MG</t>
  </si>
  <si>
    <t>CTRY_MOZAMBIQUE</t>
  </si>
  <si>
    <t>MZ</t>
  </si>
  <si>
    <t>APL23_ETSIC</t>
  </si>
  <si>
    <t>CTRY_NIGER</t>
  </si>
  <si>
    <t>NE</t>
  </si>
  <si>
    <t>CTRY_PITCAIRN</t>
  </si>
  <si>
    <t>PN</t>
  </si>
  <si>
    <t>CTRY_SEYCHELLES</t>
  </si>
  <si>
    <t>SC</t>
  </si>
  <si>
    <t>CTRY_SIERRA_LEONE</t>
  </si>
  <si>
    <t>SL</t>
  </si>
  <si>
    <t>CTRY_SOUTH_GEORGIA_AND_THE_SOUTH_SANDWICH_ISLANDS</t>
  </si>
  <si>
    <t>GS</t>
  </si>
  <si>
    <t>CTRY_TAJIKISTAN</t>
  </si>
  <si>
    <t>TJ</t>
  </si>
  <si>
    <t>CTRY_TOKELAU</t>
  </si>
  <si>
    <t>TK</t>
  </si>
  <si>
    <t>CTRY_TONGA</t>
  </si>
  <si>
    <t>TO</t>
  </si>
  <si>
    <t>CTRY_TURKMENISTAN</t>
  </si>
  <si>
    <t>TM</t>
  </si>
  <si>
    <t>CTRY_WESTERN_SAHARA</t>
  </si>
  <si>
    <t>EH</t>
  </si>
  <si>
    <t>CHAN_5925_6425_7</t>
  </si>
  <si>
    <t>CHAN_6525_6875_7</t>
  </si>
  <si>
    <t>CHAN_5925_7125_12</t>
  </si>
  <si>
    <t>CHAN_5170_5250_27</t>
  </si>
  <si>
    <t>CHAN_5850_5925_3</t>
  </si>
  <si>
    <t>CHAN_5170_5250_26</t>
  </si>
  <si>
    <t>FCC5_6G_VLP</t>
  </si>
  <si>
    <t>ETSI25_id</t>
  </si>
  <si>
    <t>ETSI26_id</t>
  </si>
  <si>
    <t>FCC2_6G_VLP</t>
  </si>
  <si>
    <t>CHAN_5835_5925_1</t>
  </si>
  <si>
    <t>CHAN_5500_5650_3</t>
  </si>
  <si>
    <t>CTRY_MALI</t>
  </si>
  <si>
    <t>ML</t>
  </si>
  <si>
    <t>0xD6</t>
  </si>
  <si>
    <t>0x79</t>
  </si>
  <si>
    <t>0xD9</t>
  </si>
  <si>
    <t>CHAN_5500_5710_11</t>
  </si>
  <si>
    <t>0xDB</t>
  </si>
  <si>
    <t>CHAN_5735_5875_9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</si>
</sst>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8"/>
      <color rgb="FF000000"/>
      <name val="Courier New"/>
      <family val="3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 Light"/>
      <family val="2"/>
      <scheme val="maj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1" fillId="0" borderId="0" xfId="0" applyFont="1" applyAlignment="1">
      <alignment horizontal="right"/>
    </xf>
    <xf numFmtId="0" fontId="8" fillId="0" borderId="0" xfId="0" applyFont="1"/>
    <xf numFmtId="0" fontId="0" fillId="3" borderId="0" xfId="0" applyFill="1"/>
    <xf numFmtId="0" fontId="8" fillId="3" borderId="0" xfId="0" applyFont="1" applyFill="1"/>
    <xf numFmtId="0" fontId="4" fillId="3" borderId="0" xfId="0" applyFont="1" applyFill="1"/>
    <xf numFmtId="0" fontId="0" fillId="3" borderId="0" xfId="0" applyFill="1" applyAlignment="1">
      <alignment horizontal="right"/>
    </xf>
    <xf numFmtId="0" fontId="0" fillId="4" borderId="0" xfId="0" applyFill="1"/>
    <xf numFmtId="0" fontId="0" fillId="5" borderId="0" xfId="0" applyFill="1" applyAlignment="1">
      <alignment horizontal="righ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29FC-0345-48CA-8CCE-76349BE50920}">
  <dimension ref="A1:D3"/>
  <sheetViews>
    <sheetView zoomScaleNormal="100" workbookViewId="0">
      <selection activeCell="E16" sqref="E16"/>
    </sheetView>
  </sheetViews>
  <sheetFormatPr defaultRowHeight="15" x14ac:dyDescent="0.25"/>
  <cols>
    <col min="1" max="1" width="21.7109375" customWidth="1"/>
  </cols>
  <sheetData>
    <row r="1" spans="1:4" ht="15.75" thickBot="1" x14ac:dyDescent="0.3">
      <c r="A1" s="4" t="s">
        <v>793</v>
      </c>
      <c r="B1" s="5" t="s">
        <v>1242</v>
      </c>
      <c r="C1" s="6">
        <v>46</v>
      </c>
      <c r="D1" t="s">
        <v>781</v>
      </c>
    </row>
    <row r="2" spans="1:4" x14ac:dyDescent="0.25">
      <c r="A2" t="s">
        <v>1243</v>
      </c>
      <c r="B2" t="s">
        <v>858</v>
      </c>
      <c r="C2">
        <v>0</v>
      </c>
      <c r="D2" s="8"/>
    </row>
    <row r="3" spans="1:4" x14ac:dyDescent="0.25">
      <c r="A3" s="8" t="s">
        <v>1244</v>
      </c>
      <c r="B3" s="8" t="s">
        <v>387</v>
      </c>
      <c r="C3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19.28515625" customWidth="1"/>
    <col min="2" max="2" width="12.85546875" customWidth="1"/>
    <col min="6" max="6" width="15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3</v>
      </c>
      <c r="B2">
        <v>0</v>
      </c>
    </row>
    <row r="3" spans="1:2" x14ac:dyDescent="0.25">
      <c r="A3" t="s">
        <v>573</v>
      </c>
      <c r="B3">
        <v>1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5</v>
      </c>
    </row>
    <row r="8" spans="1:2" x14ac:dyDescent="0.25">
      <c r="A8" t="s">
        <v>574</v>
      </c>
      <c r="B8">
        <v>6</v>
      </c>
    </row>
    <row r="9" spans="1:2" x14ac:dyDescent="0.25">
      <c r="A9" t="s">
        <v>851</v>
      </c>
      <c r="B9">
        <v>7</v>
      </c>
    </row>
    <row r="10" spans="1:2" x14ac:dyDescent="0.25">
      <c r="A10" t="s">
        <v>8</v>
      </c>
      <c r="B10">
        <v>8</v>
      </c>
    </row>
    <row r="11" spans="1:2" x14ac:dyDescent="0.25">
      <c r="A11" t="s">
        <v>9</v>
      </c>
      <c r="B11">
        <v>9</v>
      </c>
    </row>
    <row r="12" spans="1:2" x14ac:dyDescent="0.25">
      <c r="A12" t="s">
        <v>10</v>
      </c>
      <c r="B12">
        <v>10</v>
      </c>
    </row>
    <row r="13" spans="1:2" x14ac:dyDescent="0.25">
      <c r="A13" t="s">
        <v>925</v>
      </c>
      <c r="B13">
        <v>255</v>
      </c>
    </row>
    <row r="14" spans="1:2" x14ac:dyDescent="0.25">
      <c r="A14" t="s">
        <v>3</v>
      </c>
      <c r="B14">
        <v>0</v>
      </c>
    </row>
    <row r="15" spans="1:2" x14ac:dyDescent="0.25">
      <c r="A15" t="s">
        <v>1019</v>
      </c>
      <c r="B15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"/>
  <sheetViews>
    <sheetView zoomScaleNormal="100" workbookViewId="0">
      <pane ySplit="1" topLeftCell="A37" activePane="bottomLeft" state="frozen"/>
      <selection pane="bottomLeft" activeCell="A68" sqref="A68"/>
    </sheetView>
  </sheetViews>
  <sheetFormatPr defaultRowHeight="15" x14ac:dyDescent="0.25"/>
  <cols>
    <col min="1" max="1" width="19.28515625" customWidth="1"/>
    <col min="2" max="2" width="16.8554687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11</v>
      </c>
      <c r="B3">
        <v>1</v>
      </c>
    </row>
    <row r="4" spans="1:2" x14ac:dyDescent="0.25">
      <c r="A4" t="s">
        <v>12</v>
      </c>
      <c r="B4">
        <v>2</v>
      </c>
    </row>
    <row r="5" spans="1:2" x14ac:dyDescent="0.25">
      <c r="A5" t="s">
        <v>13</v>
      </c>
      <c r="B5">
        <v>3</v>
      </c>
    </row>
    <row r="6" spans="1:2" x14ac:dyDescent="0.25">
      <c r="A6" t="s">
        <v>14</v>
      </c>
      <c r="B6">
        <v>4</v>
      </c>
    </row>
    <row r="7" spans="1:2" x14ac:dyDescent="0.25">
      <c r="A7" t="s">
        <v>590</v>
      </c>
      <c r="B7">
        <v>5</v>
      </c>
    </row>
    <row r="8" spans="1:2" x14ac:dyDescent="0.25">
      <c r="A8" t="s">
        <v>15</v>
      </c>
      <c r="B8">
        <v>6</v>
      </c>
    </row>
    <row r="9" spans="1:2" x14ac:dyDescent="0.25">
      <c r="A9" t="s">
        <v>16</v>
      </c>
      <c r="B9">
        <v>7</v>
      </c>
    </row>
    <row r="10" spans="1:2" x14ac:dyDescent="0.25">
      <c r="A10" t="s">
        <v>770</v>
      </c>
      <c r="B10">
        <v>8</v>
      </c>
    </row>
    <row r="11" spans="1:2" x14ac:dyDescent="0.25">
      <c r="A11" t="s">
        <v>17</v>
      </c>
      <c r="B11">
        <v>9</v>
      </c>
    </row>
    <row r="12" spans="1:2" x14ac:dyDescent="0.25">
      <c r="A12" t="s">
        <v>575</v>
      </c>
      <c r="B12">
        <v>10</v>
      </c>
    </row>
    <row r="13" spans="1:2" x14ac:dyDescent="0.25">
      <c r="A13" t="s">
        <v>576</v>
      </c>
      <c r="B13">
        <v>11</v>
      </c>
    </row>
    <row r="14" spans="1:2" x14ac:dyDescent="0.25">
      <c r="A14" t="s">
        <v>886</v>
      </c>
      <c r="B14">
        <v>12</v>
      </c>
    </row>
    <row r="15" spans="1:2" x14ac:dyDescent="0.25">
      <c r="A15" t="s">
        <v>887</v>
      </c>
      <c r="B15">
        <v>13</v>
      </c>
    </row>
    <row r="16" spans="1:2" x14ac:dyDescent="0.25">
      <c r="A16" t="s">
        <v>18</v>
      </c>
      <c r="B16">
        <v>14</v>
      </c>
    </row>
    <row r="17" spans="1:2" x14ac:dyDescent="0.25">
      <c r="A17" t="s">
        <v>19</v>
      </c>
      <c r="B17">
        <v>15</v>
      </c>
    </row>
    <row r="18" spans="1:2" x14ac:dyDescent="0.25">
      <c r="A18" t="s">
        <v>20</v>
      </c>
      <c r="B18">
        <v>16</v>
      </c>
    </row>
    <row r="19" spans="1:2" x14ac:dyDescent="0.25">
      <c r="A19" t="s">
        <v>21</v>
      </c>
      <c r="B19">
        <v>17</v>
      </c>
    </row>
    <row r="20" spans="1:2" x14ac:dyDescent="0.25">
      <c r="A20" t="s">
        <v>22</v>
      </c>
      <c r="B20">
        <v>18</v>
      </c>
    </row>
    <row r="21" spans="1:2" x14ac:dyDescent="0.25">
      <c r="A21" t="s">
        <v>771</v>
      </c>
      <c r="B21">
        <v>19</v>
      </c>
    </row>
    <row r="22" spans="1:2" x14ac:dyDescent="0.25">
      <c r="A22" t="s">
        <v>23</v>
      </c>
      <c r="B22">
        <v>20</v>
      </c>
    </row>
    <row r="23" spans="1:2" x14ac:dyDescent="0.25">
      <c r="A23" t="s">
        <v>588</v>
      </c>
      <c r="B23">
        <v>21</v>
      </c>
    </row>
    <row r="24" spans="1:2" x14ac:dyDescent="0.25">
      <c r="A24" t="s">
        <v>589</v>
      </c>
      <c r="B24">
        <v>22</v>
      </c>
    </row>
    <row r="25" spans="1:2" x14ac:dyDescent="0.25">
      <c r="A25" t="s">
        <v>592</v>
      </c>
      <c r="B25">
        <v>23</v>
      </c>
    </row>
    <row r="26" spans="1:2" x14ac:dyDescent="0.25">
      <c r="A26" t="s">
        <v>783</v>
      </c>
      <c r="B26">
        <v>24</v>
      </c>
    </row>
    <row r="27" spans="1:2" x14ac:dyDescent="0.25">
      <c r="A27" t="s">
        <v>893</v>
      </c>
      <c r="B27">
        <v>25</v>
      </c>
    </row>
    <row r="28" spans="1:2" x14ac:dyDescent="0.25">
      <c r="A28" t="s">
        <v>24</v>
      </c>
      <c r="B28">
        <v>26</v>
      </c>
    </row>
    <row r="29" spans="1:2" x14ac:dyDescent="0.25">
      <c r="A29" t="s">
        <v>25</v>
      </c>
      <c r="B29">
        <v>27</v>
      </c>
    </row>
    <row r="30" spans="1:2" x14ac:dyDescent="0.25">
      <c r="A30" t="s">
        <v>26</v>
      </c>
      <c r="B30">
        <v>28</v>
      </c>
    </row>
    <row r="31" spans="1:2" x14ac:dyDescent="0.25">
      <c r="A31" t="s">
        <v>27</v>
      </c>
      <c r="B31">
        <v>29</v>
      </c>
    </row>
    <row r="32" spans="1:2" x14ac:dyDescent="0.25">
      <c r="A32" t="s">
        <v>28</v>
      </c>
      <c r="B32">
        <v>30</v>
      </c>
    </row>
    <row r="33" spans="1:2" x14ac:dyDescent="0.25">
      <c r="A33" t="s">
        <v>29</v>
      </c>
      <c r="B33">
        <v>31</v>
      </c>
    </row>
    <row r="34" spans="1:2" x14ac:dyDescent="0.25">
      <c r="A34" t="s">
        <v>30</v>
      </c>
      <c r="B34">
        <v>32</v>
      </c>
    </row>
    <row r="35" spans="1:2" x14ac:dyDescent="0.25">
      <c r="A35" t="s">
        <v>577</v>
      </c>
      <c r="B35">
        <v>33</v>
      </c>
    </row>
    <row r="36" spans="1:2" x14ac:dyDescent="0.25">
      <c r="A36" t="s">
        <v>31</v>
      </c>
      <c r="B36">
        <v>34</v>
      </c>
    </row>
    <row r="37" spans="1:2" x14ac:dyDescent="0.25">
      <c r="A37" t="s">
        <v>32</v>
      </c>
      <c r="B37">
        <v>35</v>
      </c>
    </row>
    <row r="38" spans="1:2" x14ac:dyDescent="0.25">
      <c r="A38" t="s">
        <v>33</v>
      </c>
      <c r="B38">
        <v>36</v>
      </c>
    </row>
    <row r="39" spans="1:2" x14ac:dyDescent="0.25">
      <c r="A39" t="s">
        <v>34</v>
      </c>
      <c r="B39">
        <v>37</v>
      </c>
    </row>
    <row r="40" spans="1:2" x14ac:dyDescent="0.25">
      <c r="A40" t="s">
        <v>35</v>
      </c>
      <c r="B40">
        <v>38</v>
      </c>
    </row>
    <row r="41" spans="1:2" x14ac:dyDescent="0.25">
      <c r="A41" t="s">
        <v>578</v>
      </c>
      <c r="B41">
        <v>39</v>
      </c>
    </row>
    <row r="42" spans="1:2" x14ac:dyDescent="0.25">
      <c r="A42" t="s">
        <v>579</v>
      </c>
      <c r="B42">
        <v>40</v>
      </c>
    </row>
    <row r="43" spans="1:2" x14ac:dyDescent="0.25">
      <c r="A43" t="s">
        <v>580</v>
      </c>
      <c r="B43">
        <v>41</v>
      </c>
    </row>
    <row r="44" spans="1:2" x14ac:dyDescent="0.25">
      <c r="A44" t="s">
        <v>581</v>
      </c>
      <c r="B44">
        <v>42</v>
      </c>
    </row>
    <row r="45" spans="1:2" x14ac:dyDescent="0.25">
      <c r="A45" t="s">
        <v>868</v>
      </c>
      <c r="B45">
        <v>43</v>
      </c>
    </row>
    <row r="46" spans="1:2" x14ac:dyDescent="0.25">
      <c r="A46" t="s">
        <v>36</v>
      </c>
      <c r="B46">
        <v>44</v>
      </c>
    </row>
    <row r="47" spans="1:2" x14ac:dyDescent="0.25">
      <c r="A47" t="s">
        <v>37</v>
      </c>
      <c r="B47">
        <v>45</v>
      </c>
    </row>
    <row r="48" spans="1:2" x14ac:dyDescent="0.25">
      <c r="A48" t="s">
        <v>796</v>
      </c>
      <c r="B48">
        <v>46</v>
      </c>
    </row>
    <row r="49" spans="1:2" x14ac:dyDescent="0.25">
      <c r="A49" t="s">
        <v>38</v>
      </c>
      <c r="B49">
        <v>47</v>
      </c>
    </row>
    <row r="50" spans="1:2" x14ac:dyDescent="0.25">
      <c r="A50" t="s">
        <v>582</v>
      </c>
      <c r="B50">
        <v>48</v>
      </c>
    </row>
    <row r="51" spans="1:2" x14ac:dyDescent="0.25">
      <c r="A51" t="s">
        <v>852</v>
      </c>
      <c r="B51">
        <v>49</v>
      </c>
    </row>
    <row r="52" spans="1:2" x14ac:dyDescent="0.25">
      <c r="A52" t="s">
        <v>39</v>
      </c>
      <c r="B52">
        <v>50</v>
      </c>
    </row>
    <row r="53" spans="1:2" x14ac:dyDescent="0.25">
      <c r="A53" t="s">
        <v>40</v>
      </c>
      <c r="B53">
        <v>51</v>
      </c>
    </row>
    <row r="54" spans="1:2" x14ac:dyDescent="0.25">
      <c r="A54" t="s">
        <v>968</v>
      </c>
      <c r="B54">
        <v>52</v>
      </c>
    </row>
    <row r="55" spans="1:2" x14ac:dyDescent="0.25">
      <c r="A55" t="s">
        <v>976</v>
      </c>
      <c r="B55">
        <v>53</v>
      </c>
    </row>
    <row r="56" spans="1:2" x14ac:dyDescent="0.25">
      <c r="A56" t="s">
        <v>985</v>
      </c>
      <c r="B56">
        <v>54</v>
      </c>
    </row>
    <row r="57" spans="1:2" x14ac:dyDescent="0.25">
      <c r="A57" t="s">
        <v>1021</v>
      </c>
      <c r="B57">
        <v>55</v>
      </c>
    </row>
    <row r="58" spans="1:2" x14ac:dyDescent="0.25">
      <c r="A58" t="s">
        <v>1013</v>
      </c>
      <c r="B58">
        <v>56</v>
      </c>
    </row>
    <row r="59" spans="1:2" x14ac:dyDescent="0.25">
      <c r="A59" t="s">
        <v>1018</v>
      </c>
      <c r="B59">
        <v>57</v>
      </c>
    </row>
    <row r="60" spans="1:2" x14ac:dyDescent="0.25">
      <c r="A60" t="s">
        <v>1127</v>
      </c>
      <c r="B60">
        <v>58</v>
      </c>
    </row>
    <row r="61" spans="1:2" x14ac:dyDescent="0.25">
      <c r="A61" t="s">
        <v>1142</v>
      </c>
      <c r="B61">
        <v>59</v>
      </c>
    </row>
    <row r="62" spans="1:2" x14ac:dyDescent="0.25">
      <c r="A62" t="s">
        <v>1146</v>
      </c>
      <c r="B62">
        <v>60</v>
      </c>
    </row>
    <row r="63" spans="1:2" x14ac:dyDescent="0.25">
      <c r="A63" t="s">
        <v>1168</v>
      </c>
      <c r="B63">
        <v>61</v>
      </c>
    </row>
    <row r="64" spans="1:2" x14ac:dyDescent="0.25">
      <c r="A64" t="s">
        <v>1169</v>
      </c>
      <c r="B64">
        <v>62</v>
      </c>
    </row>
    <row r="65" spans="1:2" x14ac:dyDescent="0.25">
      <c r="A65" t="s">
        <v>1170</v>
      </c>
      <c r="B65">
        <v>63</v>
      </c>
    </row>
    <row r="66" spans="1:2" x14ac:dyDescent="0.25">
      <c r="A66" t="s">
        <v>1224</v>
      </c>
      <c r="B66">
        <v>64</v>
      </c>
    </row>
    <row r="67" spans="1:2" x14ac:dyDescent="0.25">
      <c r="A67" t="s">
        <v>1240</v>
      </c>
      <c r="B67">
        <v>65</v>
      </c>
    </row>
    <row r="68" spans="1:2" x14ac:dyDescent="0.25">
      <c r="A68" s="15" t="s">
        <v>1316</v>
      </c>
      <c r="B68" s="15">
        <v>66</v>
      </c>
    </row>
    <row r="69" spans="1:2" x14ac:dyDescent="0.25">
      <c r="A69" s="15" t="s">
        <v>1317</v>
      </c>
      <c r="B69" s="15">
        <v>67</v>
      </c>
    </row>
    <row r="70" spans="1:2" x14ac:dyDescent="0.25">
      <c r="A70" t="s">
        <v>924</v>
      </c>
      <c r="B70">
        <v>255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4FEC-DE1A-4B46-B6C9-43023EEC9B6D}">
  <dimension ref="A1:B37"/>
  <sheetViews>
    <sheetView topLeftCell="A13" workbookViewId="0">
      <selection activeCell="A36" sqref="A36"/>
    </sheetView>
  </sheetViews>
  <sheetFormatPr defaultRowHeight="15" x14ac:dyDescent="0.25"/>
  <cols>
    <col min="1" max="1" width="21.5703125" bestFit="1" customWidth="1"/>
    <col min="2" max="2" width="6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916</v>
      </c>
      <c r="B2">
        <v>0</v>
      </c>
    </row>
    <row r="3" spans="1:2" x14ac:dyDescent="0.25">
      <c r="A3" t="s">
        <v>917</v>
      </c>
      <c r="B3">
        <v>1</v>
      </c>
    </row>
    <row r="4" spans="1:2" x14ac:dyDescent="0.25">
      <c r="A4" t="s">
        <v>919</v>
      </c>
      <c r="B4">
        <v>2</v>
      </c>
    </row>
    <row r="5" spans="1:2" x14ac:dyDescent="0.25">
      <c r="A5" t="s">
        <v>918</v>
      </c>
      <c r="B5">
        <v>3</v>
      </c>
    </row>
    <row r="6" spans="1:2" x14ac:dyDescent="0.25">
      <c r="A6" t="s">
        <v>933</v>
      </c>
      <c r="B6">
        <v>4</v>
      </c>
    </row>
    <row r="7" spans="1:2" x14ac:dyDescent="0.25">
      <c r="A7" t="s">
        <v>934</v>
      </c>
      <c r="B7">
        <v>5</v>
      </c>
    </row>
    <row r="8" spans="1:2" x14ac:dyDescent="0.25">
      <c r="A8" t="s">
        <v>939</v>
      </c>
      <c r="B8">
        <v>6</v>
      </c>
    </row>
    <row r="9" spans="1:2" x14ac:dyDescent="0.25">
      <c r="A9" t="s">
        <v>940</v>
      </c>
      <c r="B9">
        <v>7</v>
      </c>
    </row>
    <row r="10" spans="1:2" x14ac:dyDescent="0.25">
      <c r="A10" t="s">
        <v>949</v>
      </c>
      <c r="B10">
        <v>8</v>
      </c>
    </row>
    <row r="11" spans="1:2" x14ac:dyDescent="0.25">
      <c r="A11" t="s">
        <v>950</v>
      </c>
      <c r="B11">
        <v>9</v>
      </c>
    </row>
    <row r="12" spans="1:2" x14ac:dyDescent="0.25">
      <c r="A12" t="s">
        <v>994</v>
      </c>
      <c r="B12">
        <v>10</v>
      </c>
    </row>
    <row r="13" spans="1:2" x14ac:dyDescent="0.25">
      <c r="A13" t="s">
        <v>995</v>
      </c>
      <c r="B13">
        <v>11</v>
      </c>
    </row>
    <row r="14" spans="1:2" x14ac:dyDescent="0.25">
      <c r="A14" t="s">
        <v>996</v>
      </c>
      <c r="B14">
        <v>12</v>
      </c>
    </row>
    <row r="15" spans="1:2" x14ac:dyDescent="0.25">
      <c r="A15" t="s">
        <v>1038</v>
      </c>
      <c r="B15">
        <v>13</v>
      </c>
    </row>
    <row r="16" spans="1:2" x14ac:dyDescent="0.25">
      <c r="A16" t="s">
        <v>1036</v>
      </c>
      <c r="B16">
        <v>14</v>
      </c>
    </row>
    <row r="17" spans="1:2" x14ac:dyDescent="0.25">
      <c r="A17" t="s">
        <v>1037</v>
      </c>
      <c r="B17">
        <v>15</v>
      </c>
    </row>
    <row r="18" spans="1:2" x14ac:dyDescent="0.25">
      <c r="A18" t="s">
        <v>1039</v>
      </c>
      <c r="B18">
        <v>16</v>
      </c>
    </row>
    <row r="19" spans="1:2" x14ac:dyDescent="0.25">
      <c r="A19" t="s">
        <v>1040</v>
      </c>
      <c r="B19">
        <v>17</v>
      </c>
    </row>
    <row r="20" spans="1:2" x14ac:dyDescent="0.25">
      <c r="A20" t="s">
        <v>1041</v>
      </c>
      <c r="B20">
        <v>18</v>
      </c>
    </row>
    <row r="21" spans="1:2" x14ac:dyDescent="0.25">
      <c r="A21" t="s">
        <v>1042</v>
      </c>
      <c r="B21">
        <v>19</v>
      </c>
    </row>
    <row r="22" spans="1:2" x14ac:dyDescent="0.25">
      <c r="A22" t="s">
        <v>1043</v>
      </c>
      <c r="B22">
        <v>20</v>
      </c>
    </row>
    <row r="23" spans="1:2" x14ac:dyDescent="0.25">
      <c r="A23" t="s">
        <v>1064</v>
      </c>
      <c r="B23">
        <v>21</v>
      </c>
    </row>
    <row r="24" spans="1:2" x14ac:dyDescent="0.25">
      <c r="A24" t="s">
        <v>1065</v>
      </c>
      <c r="B24">
        <v>22</v>
      </c>
    </row>
    <row r="25" spans="1:2" x14ac:dyDescent="0.25">
      <c r="A25" t="s">
        <v>1136</v>
      </c>
      <c r="B25">
        <v>23</v>
      </c>
    </row>
    <row r="26" spans="1:2" x14ac:dyDescent="0.25">
      <c r="A26" t="s">
        <v>1138</v>
      </c>
      <c r="B26">
        <v>24</v>
      </c>
    </row>
    <row r="27" spans="1:2" x14ac:dyDescent="0.25">
      <c r="A27" t="s">
        <v>1171</v>
      </c>
      <c r="B27">
        <v>25</v>
      </c>
    </row>
    <row r="28" spans="1:2" x14ac:dyDescent="0.25">
      <c r="A28" t="s">
        <v>1172</v>
      </c>
      <c r="B28">
        <v>26</v>
      </c>
    </row>
    <row r="29" spans="1:2" x14ac:dyDescent="0.25">
      <c r="A29" t="s">
        <v>1173</v>
      </c>
      <c r="B29">
        <v>27</v>
      </c>
    </row>
    <row r="30" spans="1:2" x14ac:dyDescent="0.25">
      <c r="A30" t="s">
        <v>1174</v>
      </c>
      <c r="B30">
        <v>28</v>
      </c>
    </row>
    <row r="31" spans="1:2" x14ac:dyDescent="0.25">
      <c r="A31" t="s">
        <v>1207</v>
      </c>
      <c r="B31">
        <v>29</v>
      </c>
    </row>
    <row r="32" spans="1:2" x14ac:dyDescent="0.25">
      <c r="A32" t="s">
        <v>1208</v>
      </c>
      <c r="B32">
        <v>30</v>
      </c>
    </row>
    <row r="33" spans="1:2" x14ac:dyDescent="0.25">
      <c r="A33" t="s">
        <v>1225</v>
      </c>
      <c r="B33">
        <v>31</v>
      </c>
    </row>
    <row r="34" spans="1:2" x14ac:dyDescent="0.25">
      <c r="A34" t="s">
        <v>1234</v>
      </c>
      <c r="B34">
        <v>32</v>
      </c>
    </row>
    <row r="35" spans="1:2" x14ac:dyDescent="0.25">
      <c r="A35" t="s">
        <v>1235</v>
      </c>
      <c r="B35">
        <v>33</v>
      </c>
    </row>
    <row r="36" spans="1:2" x14ac:dyDescent="0.25">
      <c r="A36" s="15" t="s">
        <v>1315</v>
      </c>
      <c r="B36" s="15">
        <v>34</v>
      </c>
    </row>
    <row r="37" spans="1:2" x14ac:dyDescent="0.25">
      <c r="A37" s="15" t="s">
        <v>1318</v>
      </c>
      <c r="B37" s="15">
        <v>35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74B1-A39F-4576-8374-6F1CD1B1406A}">
  <dimension ref="A1:C153"/>
  <sheetViews>
    <sheetView workbookViewId="0">
      <pane ySplit="1" topLeftCell="A79" activePane="bottomLeft" state="frozen"/>
      <selection pane="bottomLeft" activeCell="B100" sqref="B100"/>
    </sheetView>
  </sheetViews>
  <sheetFormatPr defaultRowHeight="15" x14ac:dyDescent="0.25"/>
  <cols>
    <col min="1" max="1" width="18.7109375" customWidth="1"/>
    <col min="2" max="2" width="28.5703125" customWidth="1"/>
    <col min="3" max="3" width="26.85546875" customWidth="1"/>
  </cols>
  <sheetData>
    <row r="1" spans="1:3" s="1" customFormat="1" x14ac:dyDescent="0.25">
      <c r="A1" s="1" t="s">
        <v>884</v>
      </c>
      <c r="B1" s="1" t="s">
        <v>883</v>
      </c>
      <c r="C1" s="1" t="s">
        <v>882</v>
      </c>
    </row>
    <row r="2" spans="1:3" x14ac:dyDescent="0.25">
      <c r="A2" t="s">
        <v>210</v>
      </c>
      <c r="B2" t="s">
        <v>2</v>
      </c>
      <c r="C2" t="s">
        <v>4</v>
      </c>
    </row>
    <row r="3" spans="1:3" x14ac:dyDescent="0.25">
      <c r="A3" t="s">
        <v>171</v>
      </c>
      <c r="B3" t="s">
        <v>11</v>
      </c>
      <c r="C3" t="s">
        <v>3</v>
      </c>
    </row>
    <row r="4" spans="1:3" x14ac:dyDescent="0.25">
      <c r="A4" t="s">
        <v>177</v>
      </c>
      <c r="B4" t="s">
        <v>11</v>
      </c>
      <c r="C4" t="s">
        <v>4</v>
      </c>
    </row>
    <row r="5" spans="1:3" x14ac:dyDescent="0.25">
      <c r="A5" t="s">
        <v>395</v>
      </c>
      <c r="B5" t="s">
        <v>12</v>
      </c>
      <c r="C5" t="s">
        <v>3</v>
      </c>
    </row>
    <row r="6" spans="1:3" x14ac:dyDescent="0.25">
      <c r="A6" t="s">
        <v>136</v>
      </c>
      <c r="B6" t="s">
        <v>12</v>
      </c>
      <c r="C6" t="s">
        <v>4</v>
      </c>
    </row>
    <row r="7" spans="1:3" x14ac:dyDescent="0.25">
      <c r="A7" t="s">
        <v>310</v>
      </c>
      <c r="B7" t="s">
        <v>12</v>
      </c>
      <c r="C7" t="s">
        <v>7</v>
      </c>
    </row>
    <row r="8" spans="1:3" x14ac:dyDescent="0.25">
      <c r="A8" t="s">
        <v>116</v>
      </c>
      <c r="B8" t="s">
        <v>13</v>
      </c>
      <c r="C8" t="s">
        <v>3</v>
      </c>
    </row>
    <row r="9" spans="1:3" x14ac:dyDescent="0.25">
      <c r="A9" t="s">
        <v>119</v>
      </c>
      <c r="B9" t="s">
        <v>13</v>
      </c>
      <c r="C9" t="s">
        <v>4</v>
      </c>
    </row>
    <row r="10" spans="1:3" x14ac:dyDescent="0.25">
      <c r="A10" t="s">
        <v>141</v>
      </c>
      <c r="B10" t="s">
        <v>13</v>
      </c>
      <c r="C10" t="s">
        <v>7</v>
      </c>
    </row>
    <row r="11" spans="1:3" x14ac:dyDescent="0.25">
      <c r="A11" t="s">
        <v>303</v>
      </c>
      <c r="B11" t="s">
        <v>14</v>
      </c>
      <c r="C11" t="s">
        <v>3</v>
      </c>
    </row>
    <row r="12" spans="1:3" x14ac:dyDescent="0.25">
      <c r="A12" t="s">
        <v>403</v>
      </c>
      <c r="B12" t="s">
        <v>590</v>
      </c>
      <c r="C12" t="s">
        <v>3</v>
      </c>
    </row>
    <row r="13" spans="1:3" x14ac:dyDescent="0.25">
      <c r="A13" t="s">
        <v>127</v>
      </c>
      <c r="B13" t="s">
        <v>15</v>
      </c>
      <c r="C13" t="s">
        <v>4</v>
      </c>
    </row>
    <row r="14" spans="1:3" x14ac:dyDescent="0.25">
      <c r="A14" t="s">
        <v>155</v>
      </c>
      <c r="B14" t="s">
        <v>15</v>
      </c>
      <c r="C14" t="s">
        <v>3</v>
      </c>
    </row>
    <row r="15" spans="1:3" x14ac:dyDescent="0.25">
      <c r="A15" t="s">
        <v>305</v>
      </c>
      <c r="B15" t="s">
        <v>16</v>
      </c>
      <c r="C15" t="s">
        <v>3</v>
      </c>
    </row>
    <row r="16" spans="1:3" x14ac:dyDescent="0.25">
      <c r="A16" t="s">
        <v>226</v>
      </c>
      <c r="B16" t="s">
        <v>17</v>
      </c>
      <c r="C16" t="s">
        <v>4</v>
      </c>
    </row>
    <row r="17" spans="1:3" x14ac:dyDescent="0.25">
      <c r="A17" t="s">
        <v>536</v>
      </c>
      <c r="B17" t="s">
        <v>575</v>
      </c>
      <c r="C17" t="s">
        <v>4</v>
      </c>
    </row>
    <row r="18" spans="1:3" x14ac:dyDescent="0.25">
      <c r="A18" t="s">
        <v>542</v>
      </c>
      <c r="B18" t="s">
        <v>576</v>
      </c>
      <c r="C18" t="s">
        <v>573</v>
      </c>
    </row>
    <row r="19" spans="1:3" x14ac:dyDescent="0.25">
      <c r="A19" t="s">
        <v>888</v>
      </c>
      <c r="B19" t="s">
        <v>886</v>
      </c>
      <c r="C19" t="s">
        <v>3</v>
      </c>
    </row>
    <row r="20" spans="1:3" x14ac:dyDescent="0.25">
      <c r="A20" t="s">
        <v>889</v>
      </c>
      <c r="B20" t="s">
        <v>887</v>
      </c>
      <c r="C20" t="s">
        <v>3</v>
      </c>
    </row>
    <row r="21" spans="1:3" x14ac:dyDescent="0.25">
      <c r="A21" t="s">
        <v>111</v>
      </c>
      <c r="B21" t="s">
        <v>18</v>
      </c>
      <c r="C21" t="s">
        <v>4</v>
      </c>
    </row>
    <row r="22" spans="1:3" x14ac:dyDescent="0.25">
      <c r="A22" t="s">
        <v>175</v>
      </c>
      <c r="B22" t="s">
        <v>19</v>
      </c>
      <c r="C22" t="s">
        <v>4</v>
      </c>
    </row>
    <row r="23" spans="1:3" x14ac:dyDescent="0.25">
      <c r="A23" t="s">
        <v>123</v>
      </c>
      <c r="B23" t="s">
        <v>20</v>
      </c>
      <c r="C23" t="s">
        <v>4</v>
      </c>
    </row>
    <row r="24" spans="1:3" x14ac:dyDescent="0.25">
      <c r="A24" t="s">
        <v>265</v>
      </c>
      <c r="B24" t="s">
        <v>21</v>
      </c>
      <c r="C24" t="s">
        <v>4</v>
      </c>
    </row>
    <row r="25" spans="1:3" x14ac:dyDescent="0.25">
      <c r="A25" t="s">
        <v>297</v>
      </c>
      <c r="B25" t="s">
        <v>22</v>
      </c>
      <c r="C25" t="s">
        <v>4</v>
      </c>
    </row>
    <row r="26" spans="1:3" x14ac:dyDescent="0.25">
      <c r="A26" t="s">
        <v>775</v>
      </c>
      <c r="B26" t="s">
        <v>771</v>
      </c>
      <c r="C26" t="s">
        <v>4</v>
      </c>
    </row>
    <row r="27" spans="1:3" x14ac:dyDescent="0.25">
      <c r="A27" t="s">
        <v>784</v>
      </c>
      <c r="B27" t="s">
        <v>771</v>
      </c>
      <c r="C27" t="s">
        <v>3</v>
      </c>
    </row>
    <row r="28" spans="1:3" x14ac:dyDescent="0.25">
      <c r="A28" t="s">
        <v>423</v>
      </c>
      <c r="B28" t="s">
        <v>23</v>
      </c>
      <c r="C28" t="s">
        <v>4</v>
      </c>
    </row>
    <row r="29" spans="1:3" x14ac:dyDescent="0.25">
      <c r="A29" t="s">
        <v>585</v>
      </c>
      <c r="B29" t="s">
        <v>588</v>
      </c>
      <c r="C29" t="s">
        <v>4</v>
      </c>
    </row>
    <row r="30" spans="1:3" x14ac:dyDescent="0.25">
      <c r="A30" t="s">
        <v>584</v>
      </c>
      <c r="B30" t="s">
        <v>589</v>
      </c>
      <c r="C30" t="s">
        <v>4</v>
      </c>
    </row>
    <row r="31" spans="1:3" x14ac:dyDescent="0.25">
      <c r="A31" t="s">
        <v>593</v>
      </c>
      <c r="B31" t="s">
        <v>592</v>
      </c>
      <c r="C31" t="s">
        <v>4</v>
      </c>
    </row>
    <row r="32" spans="1:3" x14ac:dyDescent="0.25">
      <c r="A32" t="s">
        <v>786</v>
      </c>
      <c r="B32" t="s">
        <v>783</v>
      </c>
      <c r="C32" t="s">
        <v>4</v>
      </c>
    </row>
    <row r="33" spans="1:3" x14ac:dyDescent="0.25">
      <c r="A33" t="s">
        <v>894</v>
      </c>
      <c r="B33" t="s">
        <v>893</v>
      </c>
      <c r="C33" t="s">
        <v>4</v>
      </c>
    </row>
    <row r="34" spans="1:3" x14ac:dyDescent="0.25">
      <c r="A34" t="s">
        <v>134</v>
      </c>
      <c r="B34" t="s">
        <v>24</v>
      </c>
      <c r="C34" t="s">
        <v>4</v>
      </c>
    </row>
    <row r="35" spans="1:3" x14ac:dyDescent="0.25">
      <c r="A35" t="s">
        <v>194</v>
      </c>
      <c r="B35" t="s">
        <v>24</v>
      </c>
      <c r="C35" t="s">
        <v>7</v>
      </c>
    </row>
    <row r="36" spans="1:3" x14ac:dyDescent="0.25">
      <c r="A36" t="s">
        <v>434</v>
      </c>
      <c r="B36" t="s">
        <v>25</v>
      </c>
      <c r="C36" t="s">
        <v>4</v>
      </c>
    </row>
    <row r="37" spans="1:3" x14ac:dyDescent="0.25">
      <c r="A37" t="s">
        <v>202</v>
      </c>
      <c r="B37" t="s">
        <v>25</v>
      </c>
      <c r="C37" t="s">
        <v>7</v>
      </c>
    </row>
    <row r="38" spans="1:3" x14ac:dyDescent="0.25">
      <c r="A38" t="s">
        <v>864</v>
      </c>
      <c r="B38" t="s">
        <v>25</v>
      </c>
      <c r="C38" t="s">
        <v>574</v>
      </c>
    </row>
    <row r="39" spans="1:3" x14ac:dyDescent="0.25">
      <c r="A39" t="s">
        <v>208</v>
      </c>
      <c r="B39" t="s">
        <v>26</v>
      </c>
      <c r="C39" t="s">
        <v>4</v>
      </c>
    </row>
    <row r="40" spans="1:3" x14ac:dyDescent="0.25">
      <c r="A40" t="s">
        <v>149</v>
      </c>
      <c r="B40" t="s">
        <v>27</v>
      </c>
      <c r="C40" t="s">
        <v>4</v>
      </c>
    </row>
    <row r="41" spans="1:3" x14ac:dyDescent="0.25">
      <c r="A41" t="s">
        <v>145</v>
      </c>
      <c r="B41" t="s">
        <v>28</v>
      </c>
      <c r="C41" t="s">
        <v>4</v>
      </c>
    </row>
    <row r="42" spans="1:3" x14ac:dyDescent="0.25">
      <c r="A42" t="s">
        <v>214</v>
      </c>
      <c r="B42" t="s">
        <v>29</v>
      </c>
      <c r="C42" t="s">
        <v>4</v>
      </c>
    </row>
    <row r="43" spans="1:3" x14ac:dyDescent="0.25">
      <c r="A43" t="s">
        <v>821</v>
      </c>
      <c r="B43" t="s">
        <v>29</v>
      </c>
      <c r="C43" t="s">
        <v>6</v>
      </c>
    </row>
    <row r="44" spans="1:3" x14ac:dyDescent="0.25">
      <c r="A44" t="s">
        <v>822</v>
      </c>
      <c r="B44" t="s">
        <v>29</v>
      </c>
      <c r="C44" t="s">
        <v>851</v>
      </c>
    </row>
    <row r="45" spans="1:3" x14ac:dyDescent="0.25">
      <c r="A45" t="s">
        <v>269</v>
      </c>
      <c r="B45" t="s">
        <v>30</v>
      </c>
      <c r="C45" t="s">
        <v>4</v>
      </c>
    </row>
    <row r="46" spans="1:3" x14ac:dyDescent="0.25">
      <c r="A46" t="s">
        <v>545</v>
      </c>
      <c r="B46" t="s">
        <v>577</v>
      </c>
      <c r="C46" t="s">
        <v>3</v>
      </c>
    </row>
    <row r="47" spans="1:3" x14ac:dyDescent="0.25">
      <c r="A47" t="s">
        <v>212</v>
      </c>
      <c r="B47" t="s">
        <v>31</v>
      </c>
      <c r="C47" t="s">
        <v>4</v>
      </c>
    </row>
    <row r="48" spans="1:3" x14ac:dyDescent="0.25">
      <c r="A48" t="s">
        <v>114</v>
      </c>
      <c r="B48" t="s">
        <v>32</v>
      </c>
      <c r="C48" t="s">
        <v>4</v>
      </c>
    </row>
    <row r="49" spans="1:3" x14ac:dyDescent="0.25">
      <c r="A49" t="s">
        <v>161</v>
      </c>
      <c r="B49" t="s">
        <v>33</v>
      </c>
      <c r="C49" t="s">
        <v>4</v>
      </c>
    </row>
    <row r="50" spans="1:3" x14ac:dyDescent="0.25">
      <c r="A50" t="s">
        <v>132</v>
      </c>
      <c r="B50" t="s">
        <v>34</v>
      </c>
      <c r="C50" t="s">
        <v>4</v>
      </c>
    </row>
    <row r="51" spans="1:3" x14ac:dyDescent="0.25">
      <c r="A51" t="s">
        <v>121</v>
      </c>
      <c r="B51" t="s">
        <v>35</v>
      </c>
      <c r="C51" t="s">
        <v>4</v>
      </c>
    </row>
    <row r="52" spans="1:3" x14ac:dyDescent="0.25">
      <c r="A52" t="s">
        <v>865</v>
      </c>
      <c r="B52" t="s">
        <v>35</v>
      </c>
      <c r="C52" t="s">
        <v>7</v>
      </c>
    </row>
    <row r="53" spans="1:3" x14ac:dyDescent="0.25">
      <c r="A53" t="s">
        <v>866</v>
      </c>
      <c r="B53" t="s">
        <v>578</v>
      </c>
      <c r="C53" t="s">
        <v>7</v>
      </c>
    </row>
    <row r="54" spans="1:3" x14ac:dyDescent="0.25">
      <c r="A54" t="s">
        <v>546</v>
      </c>
      <c r="B54" t="s">
        <v>578</v>
      </c>
      <c r="C54" t="s">
        <v>574</v>
      </c>
    </row>
    <row r="55" spans="1:3" x14ac:dyDescent="0.25">
      <c r="A55" t="s">
        <v>541</v>
      </c>
      <c r="B55" t="s">
        <v>579</v>
      </c>
      <c r="C55" t="s">
        <v>7</v>
      </c>
    </row>
    <row r="56" spans="1:3" x14ac:dyDescent="0.25">
      <c r="A56" t="s">
        <v>537</v>
      </c>
      <c r="B56" t="s">
        <v>580</v>
      </c>
      <c r="C56" t="s">
        <v>4</v>
      </c>
    </row>
    <row r="57" spans="1:3" x14ac:dyDescent="0.25">
      <c r="A57" t="s">
        <v>535</v>
      </c>
      <c r="B57" t="s">
        <v>581</v>
      </c>
      <c r="C57" t="s">
        <v>4</v>
      </c>
    </row>
    <row r="58" spans="1:3" x14ac:dyDescent="0.25">
      <c r="A58" t="s">
        <v>867</v>
      </c>
      <c r="B58" t="s">
        <v>868</v>
      </c>
      <c r="C58" t="s">
        <v>7</v>
      </c>
    </row>
    <row r="59" spans="1:3" x14ac:dyDescent="0.25">
      <c r="A59" t="s">
        <v>321</v>
      </c>
      <c r="B59" t="s">
        <v>36</v>
      </c>
      <c r="C59" t="s">
        <v>6</v>
      </c>
    </row>
    <row r="60" spans="1:3" x14ac:dyDescent="0.25">
      <c r="A60" t="s">
        <v>331</v>
      </c>
      <c r="B60" t="s">
        <v>37</v>
      </c>
      <c r="C60" t="s">
        <v>5</v>
      </c>
    </row>
    <row r="61" spans="1:3" x14ac:dyDescent="0.25">
      <c r="A61" t="s">
        <v>333</v>
      </c>
      <c r="B61" t="s">
        <v>37</v>
      </c>
      <c r="C61" t="s">
        <v>6</v>
      </c>
    </row>
    <row r="62" spans="1:3" x14ac:dyDescent="0.25">
      <c r="A62" t="s">
        <v>794</v>
      </c>
      <c r="B62" t="s">
        <v>796</v>
      </c>
      <c r="C62" t="s">
        <v>6</v>
      </c>
    </row>
    <row r="63" spans="1:3" x14ac:dyDescent="0.25">
      <c r="A63" t="s">
        <v>364</v>
      </c>
      <c r="B63" t="s">
        <v>38</v>
      </c>
      <c r="C63" t="s">
        <v>6</v>
      </c>
    </row>
    <row r="64" spans="1:3" x14ac:dyDescent="0.25">
      <c r="A64" t="s">
        <v>544</v>
      </c>
      <c r="B64" t="s">
        <v>582</v>
      </c>
      <c r="C64" t="s">
        <v>6</v>
      </c>
    </row>
    <row r="65" spans="1:3" x14ac:dyDescent="0.25">
      <c r="A65" t="s">
        <v>825</v>
      </c>
      <c r="B65" t="s">
        <v>852</v>
      </c>
      <c r="C65" t="s">
        <v>6</v>
      </c>
    </row>
    <row r="66" spans="1:3" x14ac:dyDescent="0.25">
      <c r="A66" t="s">
        <v>482</v>
      </c>
      <c r="B66" t="s">
        <v>40</v>
      </c>
      <c r="C66" t="s">
        <v>10</v>
      </c>
    </row>
    <row r="67" spans="1:3" x14ac:dyDescent="0.25">
      <c r="A67" t="s">
        <v>484</v>
      </c>
      <c r="B67" t="s">
        <v>40</v>
      </c>
      <c r="C67" t="s">
        <v>10</v>
      </c>
    </row>
    <row r="68" spans="1:3" x14ac:dyDescent="0.25">
      <c r="A68" t="s">
        <v>486</v>
      </c>
      <c r="B68" t="s">
        <v>40</v>
      </c>
      <c r="C68" t="s">
        <v>10</v>
      </c>
    </row>
    <row r="69" spans="1:3" x14ac:dyDescent="0.25">
      <c r="A69" t="s">
        <v>488</v>
      </c>
      <c r="B69" t="s">
        <v>39</v>
      </c>
      <c r="C69" t="s">
        <v>9</v>
      </c>
    </row>
    <row r="70" spans="1:3" x14ac:dyDescent="0.25">
      <c r="A70" t="s">
        <v>492</v>
      </c>
      <c r="B70" t="s">
        <v>39</v>
      </c>
      <c r="C70" t="s">
        <v>9</v>
      </c>
    </row>
    <row r="71" spans="1:3" x14ac:dyDescent="0.25">
      <c r="A71" t="s">
        <v>490</v>
      </c>
      <c r="B71" t="s">
        <v>39</v>
      </c>
      <c r="C71" t="s">
        <v>8</v>
      </c>
    </row>
    <row r="72" spans="1:3" x14ac:dyDescent="0.25">
      <c r="A72" t="s">
        <v>494</v>
      </c>
      <c r="B72" t="s">
        <v>40</v>
      </c>
      <c r="C72" t="s">
        <v>8</v>
      </c>
    </row>
    <row r="73" spans="1:3" x14ac:dyDescent="0.25">
      <c r="A73" t="s">
        <v>500</v>
      </c>
      <c r="B73" t="s">
        <v>40</v>
      </c>
      <c r="C73" t="s">
        <v>8</v>
      </c>
    </row>
    <row r="74" spans="1:3" x14ac:dyDescent="0.25">
      <c r="A74" t="s">
        <v>496</v>
      </c>
      <c r="B74" t="s">
        <v>40</v>
      </c>
      <c r="C74" t="s">
        <v>9</v>
      </c>
    </row>
    <row r="75" spans="1:3" x14ac:dyDescent="0.25">
      <c r="A75" t="s">
        <v>498</v>
      </c>
      <c r="B75" t="s">
        <v>40</v>
      </c>
      <c r="C75" t="s">
        <v>9</v>
      </c>
    </row>
    <row r="76" spans="1:3" x14ac:dyDescent="0.25">
      <c r="A76" t="s">
        <v>502</v>
      </c>
      <c r="B76" t="s">
        <v>40</v>
      </c>
      <c r="C76" t="s">
        <v>9</v>
      </c>
    </row>
    <row r="77" spans="1:3" x14ac:dyDescent="0.25">
      <c r="A77" t="s">
        <v>506</v>
      </c>
      <c r="B77" t="s">
        <v>40</v>
      </c>
      <c r="C77" t="s">
        <v>9</v>
      </c>
    </row>
    <row r="78" spans="1:3" x14ac:dyDescent="0.25">
      <c r="A78" t="s">
        <v>877</v>
      </c>
      <c r="B78" t="s">
        <v>16</v>
      </c>
      <c r="C78" t="s">
        <v>4</v>
      </c>
    </row>
    <row r="79" spans="1:3" x14ac:dyDescent="0.25">
      <c r="A79" t="s">
        <v>953</v>
      </c>
      <c r="B79" t="s">
        <v>576</v>
      </c>
      <c r="C79" t="s">
        <v>4</v>
      </c>
    </row>
    <row r="80" spans="1:3" x14ac:dyDescent="0.25">
      <c r="A80" t="s">
        <v>966</v>
      </c>
      <c r="B80" t="s">
        <v>968</v>
      </c>
      <c r="C80" t="s">
        <v>4</v>
      </c>
    </row>
    <row r="81" spans="1:3" x14ac:dyDescent="0.25">
      <c r="A81" t="s">
        <v>979</v>
      </c>
      <c r="B81" t="s">
        <v>976</v>
      </c>
      <c r="C81" t="s">
        <v>3</v>
      </c>
    </row>
    <row r="82" spans="1:3" x14ac:dyDescent="0.25">
      <c r="A82" t="s">
        <v>977</v>
      </c>
      <c r="B82" t="s">
        <v>976</v>
      </c>
      <c r="C82" t="s">
        <v>4</v>
      </c>
    </row>
    <row r="83" spans="1:3" x14ac:dyDescent="0.25">
      <c r="A83" t="s">
        <v>981</v>
      </c>
      <c r="B83" t="s">
        <v>976</v>
      </c>
      <c r="C83" t="s">
        <v>7</v>
      </c>
    </row>
    <row r="84" spans="1:3" x14ac:dyDescent="0.25">
      <c r="A84" t="s">
        <v>983</v>
      </c>
      <c r="B84" t="s">
        <v>985</v>
      </c>
      <c r="C84" t="s">
        <v>7</v>
      </c>
    </row>
    <row r="85" spans="1:3" x14ac:dyDescent="0.25">
      <c r="A85" t="s">
        <v>1014</v>
      </c>
      <c r="B85" t="s">
        <v>33</v>
      </c>
      <c r="C85" t="s">
        <v>1019</v>
      </c>
    </row>
    <row r="86" spans="1:3" x14ac:dyDescent="0.25">
      <c r="A86" t="s">
        <v>1020</v>
      </c>
      <c r="B86" t="s">
        <v>1021</v>
      </c>
      <c r="C86" t="s">
        <v>7</v>
      </c>
    </row>
    <row r="87" spans="1:3" x14ac:dyDescent="0.25">
      <c r="A87" t="s">
        <v>1011</v>
      </c>
      <c r="B87" t="s">
        <v>1013</v>
      </c>
      <c r="C87" t="s">
        <v>7</v>
      </c>
    </row>
    <row r="88" spans="1:3" x14ac:dyDescent="0.25">
      <c r="A88" t="s">
        <v>1016</v>
      </c>
      <c r="B88" t="s">
        <v>1018</v>
      </c>
      <c r="C88" t="s">
        <v>3</v>
      </c>
    </row>
    <row r="89" spans="1:3" x14ac:dyDescent="0.25">
      <c r="A89" t="s">
        <v>1060</v>
      </c>
      <c r="B89" t="s">
        <v>783</v>
      </c>
      <c r="C89" t="s">
        <v>7</v>
      </c>
    </row>
    <row r="90" spans="1:3" x14ac:dyDescent="0.25">
      <c r="A90" t="s">
        <v>1112</v>
      </c>
      <c r="B90" t="s">
        <v>1127</v>
      </c>
      <c r="C90" t="s">
        <v>4</v>
      </c>
    </row>
    <row r="91" spans="1:3" x14ac:dyDescent="0.25">
      <c r="A91" t="s">
        <v>1143</v>
      </c>
      <c r="B91" t="s">
        <v>1142</v>
      </c>
      <c r="C91" t="s">
        <v>7</v>
      </c>
    </row>
    <row r="92" spans="1:3" x14ac:dyDescent="0.25">
      <c r="A92" t="s">
        <v>1145</v>
      </c>
      <c r="B92" t="s">
        <v>1146</v>
      </c>
      <c r="C92" t="s">
        <v>4</v>
      </c>
    </row>
    <row r="93" spans="1:3" x14ac:dyDescent="0.25">
      <c r="A93" t="s">
        <v>1163</v>
      </c>
      <c r="B93" t="s">
        <v>1168</v>
      </c>
      <c r="C93" t="s">
        <v>4</v>
      </c>
    </row>
    <row r="94" spans="1:3" x14ac:dyDescent="0.25">
      <c r="A94" t="s">
        <v>1164</v>
      </c>
      <c r="B94" t="s">
        <v>1169</v>
      </c>
      <c r="C94" t="s">
        <v>3</v>
      </c>
    </row>
    <row r="95" spans="1:3" x14ac:dyDescent="0.25">
      <c r="A95" t="s">
        <v>1167</v>
      </c>
      <c r="B95" t="s">
        <v>1170</v>
      </c>
      <c r="C95" t="s">
        <v>7</v>
      </c>
    </row>
    <row r="96" spans="1:3" x14ac:dyDescent="0.25">
      <c r="A96" t="s">
        <v>1222</v>
      </c>
      <c r="B96" t="s">
        <v>1224</v>
      </c>
      <c r="C96" t="s">
        <v>7</v>
      </c>
    </row>
    <row r="97" spans="1:3" x14ac:dyDescent="0.25">
      <c r="A97" t="s">
        <v>1223</v>
      </c>
      <c r="B97" t="s">
        <v>1224</v>
      </c>
      <c r="C97" t="s">
        <v>4</v>
      </c>
    </row>
    <row r="98" spans="1:3" x14ac:dyDescent="0.25">
      <c r="A98" t="s">
        <v>1239</v>
      </c>
      <c r="B98" t="s">
        <v>1240</v>
      </c>
      <c r="C98" t="s">
        <v>4</v>
      </c>
    </row>
    <row r="99" spans="1:3" x14ac:dyDescent="0.25">
      <c r="A99" s="15" t="s">
        <v>1288</v>
      </c>
      <c r="B99" s="15" t="s">
        <v>581</v>
      </c>
      <c r="C99" s="15" t="s">
        <v>7</v>
      </c>
    </row>
    <row r="100" spans="1:3" x14ac:dyDescent="0.25">
      <c r="A100" s="15" t="s">
        <v>1273</v>
      </c>
      <c r="B100" s="15" t="s">
        <v>1316</v>
      </c>
      <c r="C100" s="15" t="s">
        <v>4</v>
      </c>
    </row>
    <row r="101" spans="1:3" x14ac:dyDescent="0.25">
      <c r="A101" s="15" t="s">
        <v>1284</v>
      </c>
      <c r="B101" s="15" t="s">
        <v>1317</v>
      </c>
      <c r="C101" s="15" t="s">
        <v>4</v>
      </c>
    </row>
    <row r="102" spans="1:3" x14ac:dyDescent="0.25">
      <c r="A102" t="s">
        <v>386</v>
      </c>
      <c r="B102" t="s">
        <v>924</v>
      </c>
      <c r="C102" t="s">
        <v>925</v>
      </c>
    </row>
    <row r="103" spans="1:3" x14ac:dyDescent="0.25">
      <c r="A103" t="s">
        <v>386</v>
      </c>
      <c r="B103" t="s">
        <v>924</v>
      </c>
      <c r="C103" t="s">
        <v>925</v>
      </c>
    </row>
    <row r="104" spans="1:3" x14ac:dyDescent="0.25">
      <c r="A104" t="s">
        <v>386</v>
      </c>
      <c r="B104" t="s">
        <v>924</v>
      </c>
      <c r="C104" t="s">
        <v>925</v>
      </c>
    </row>
    <row r="105" spans="1:3" x14ac:dyDescent="0.25">
      <c r="A105" t="s">
        <v>386</v>
      </c>
      <c r="B105" t="s">
        <v>924</v>
      </c>
      <c r="C105" t="s">
        <v>925</v>
      </c>
    </row>
    <row r="106" spans="1:3" x14ac:dyDescent="0.25">
      <c r="A106" t="s">
        <v>386</v>
      </c>
      <c r="B106" t="s">
        <v>924</v>
      </c>
      <c r="C106" t="s">
        <v>925</v>
      </c>
    </row>
    <row r="107" spans="1:3" x14ac:dyDescent="0.25">
      <c r="A107" t="s">
        <v>386</v>
      </c>
      <c r="B107" t="s">
        <v>924</v>
      </c>
      <c r="C107" t="s">
        <v>925</v>
      </c>
    </row>
    <row r="108" spans="1:3" x14ac:dyDescent="0.25">
      <c r="A108" t="s">
        <v>386</v>
      </c>
      <c r="B108" t="s">
        <v>924</v>
      </c>
      <c r="C108" t="s">
        <v>925</v>
      </c>
    </row>
    <row r="109" spans="1:3" x14ac:dyDescent="0.25">
      <c r="A109" t="s">
        <v>386</v>
      </c>
      <c r="B109" t="s">
        <v>924</v>
      </c>
      <c r="C109" t="s">
        <v>925</v>
      </c>
    </row>
    <row r="110" spans="1:3" x14ac:dyDescent="0.25">
      <c r="A110" t="s">
        <v>386</v>
      </c>
      <c r="B110" t="s">
        <v>924</v>
      </c>
      <c r="C110" t="s">
        <v>925</v>
      </c>
    </row>
    <row r="111" spans="1:3" x14ac:dyDescent="0.25">
      <c r="A111" t="s">
        <v>386</v>
      </c>
      <c r="B111" t="s">
        <v>924</v>
      </c>
      <c r="C111" t="s">
        <v>925</v>
      </c>
    </row>
    <row r="112" spans="1:3" x14ac:dyDescent="0.25">
      <c r="A112" t="s">
        <v>386</v>
      </c>
      <c r="B112" t="s">
        <v>924</v>
      </c>
      <c r="C112" t="s">
        <v>925</v>
      </c>
    </row>
    <row r="113" spans="1:3" x14ac:dyDescent="0.25">
      <c r="A113" t="s">
        <v>386</v>
      </c>
      <c r="B113" t="s">
        <v>924</v>
      </c>
      <c r="C113" t="s">
        <v>925</v>
      </c>
    </row>
    <row r="114" spans="1:3" x14ac:dyDescent="0.25">
      <c r="A114" t="s">
        <v>386</v>
      </c>
      <c r="B114" t="s">
        <v>924</v>
      </c>
      <c r="C114" t="s">
        <v>925</v>
      </c>
    </row>
    <row r="115" spans="1:3" x14ac:dyDescent="0.25">
      <c r="A115" t="s">
        <v>386</v>
      </c>
      <c r="B115" t="s">
        <v>924</v>
      </c>
      <c r="C115" t="s">
        <v>925</v>
      </c>
    </row>
    <row r="116" spans="1:3" x14ac:dyDescent="0.25">
      <c r="A116" t="s">
        <v>386</v>
      </c>
      <c r="B116" t="s">
        <v>924</v>
      </c>
      <c r="C116" t="s">
        <v>925</v>
      </c>
    </row>
    <row r="117" spans="1:3" x14ac:dyDescent="0.25">
      <c r="A117" t="s">
        <v>386</v>
      </c>
      <c r="B117" t="s">
        <v>924</v>
      </c>
      <c r="C117" t="s">
        <v>925</v>
      </c>
    </row>
    <row r="118" spans="1:3" x14ac:dyDescent="0.25">
      <c r="A118" t="s">
        <v>386</v>
      </c>
      <c r="B118" t="s">
        <v>924</v>
      </c>
      <c r="C118" t="s">
        <v>925</v>
      </c>
    </row>
    <row r="119" spans="1:3" x14ac:dyDescent="0.25">
      <c r="A119" t="s">
        <v>386</v>
      </c>
      <c r="B119" t="s">
        <v>924</v>
      </c>
      <c r="C119" t="s">
        <v>925</v>
      </c>
    </row>
    <row r="120" spans="1:3" x14ac:dyDescent="0.25">
      <c r="A120" t="s">
        <v>386</v>
      </c>
      <c r="B120" t="s">
        <v>924</v>
      </c>
      <c r="C120" t="s">
        <v>925</v>
      </c>
    </row>
    <row r="121" spans="1:3" x14ac:dyDescent="0.25">
      <c r="A121" t="s">
        <v>386</v>
      </c>
      <c r="B121" t="s">
        <v>924</v>
      </c>
      <c r="C121" t="s">
        <v>925</v>
      </c>
    </row>
    <row r="122" spans="1:3" x14ac:dyDescent="0.25">
      <c r="A122" t="s">
        <v>386</v>
      </c>
      <c r="B122" t="s">
        <v>924</v>
      </c>
      <c r="C122" t="s">
        <v>925</v>
      </c>
    </row>
    <row r="123" spans="1:3" x14ac:dyDescent="0.25">
      <c r="A123" t="s">
        <v>386</v>
      </c>
      <c r="B123" t="s">
        <v>924</v>
      </c>
      <c r="C123" t="s">
        <v>925</v>
      </c>
    </row>
    <row r="124" spans="1:3" x14ac:dyDescent="0.25">
      <c r="A124" t="s">
        <v>386</v>
      </c>
      <c r="B124" t="s">
        <v>924</v>
      </c>
      <c r="C124" t="s">
        <v>925</v>
      </c>
    </row>
    <row r="125" spans="1:3" x14ac:dyDescent="0.25">
      <c r="A125" t="s">
        <v>386</v>
      </c>
      <c r="B125" t="s">
        <v>924</v>
      </c>
      <c r="C125" t="s">
        <v>925</v>
      </c>
    </row>
    <row r="126" spans="1:3" x14ac:dyDescent="0.25">
      <c r="A126" t="s">
        <v>386</v>
      </c>
      <c r="B126" t="s">
        <v>924</v>
      </c>
      <c r="C126" t="s">
        <v>925</v>
      </c>
    </row>
    <row r="127" spans="1:3" x14ac:dyDescent="0.25">
      <c r="A127" t="s">
        <v>386</v>
      </c>
      <c r="B127" t="s">
        <v>924</v>
      </c>
      <c r="C127" t="s">
        <v>925</v>
      </c>
    </row>
    <row r="128" spans="1:3" x14ac:dyDescent="0.25">
      <c r="A128" t="s">
        <v>386</v>
      </c>
      <c r="B128" t="s">
        <v>924</v>
      </c>
      <c r="C128" t="s">
        <v>925</v>
      </c>
    </row>
    <row r="129" spans="1:3" x14ac:dyDescent="0.25">
      <c r="A129" t="s">
        <v>386</v>
      </c>
      <c r="B129" t="s">
        <v>924</v>
      </c>
      <c r="C129" t="s">
        <v>925</v>
      </c>
    </row>
    <row r="130" spans="1:3" x14ac:dyDescent="0.25">
      <c r="A130" t="s">
        <v>386</v>
      </c>
      <c r="B130" t="s">
        <v>924</v>
      </c>
      <c r="C130" t="s">
        <v>925</v>
      </c>
    </row>
    <row r="131" spans="1:3" x14ac:dyDescent="0.25">
      <c r="A131" t="s">
        <v>386</v>
      </c>
      <c r="B131" t="s">
        <v>924</v>
      </c>
      <c r="C131" t="s">
        <v>925</v>
      </c>
    </row>
    <row r="132" spans="1:3" x14ac:dyDescent="0.25">
      <c r="A132" t="s">
        <v>386</v>
      </c>
      <c r="B132" t="s">
        <v>924</v>
      </c>
      <c r="C132" t="s">
        <v>925</v>
      </c>
    </row>
    <row r="133" spans="1:3" x14ac:dyDescent="0.25">
      <c r="A133" t="s">
        <v>386</v>
      </c>
      <c r="B133" t="s">
        <v>924</v>
      </c>
      <c r="C133" t="s">
        <v>925</v>
      </c>
    </row>
    <row r="134" spans="1:3" x14ac:dyDescent="0.25">
      <c r="A134" t="s">
        <v>386</v>
      </c>
      <c r="B134" t="s">
        <v>924</v>
      </c>
      <c r="C134" t="s">
        <v>925</v>
      </c>
    </row>
    <row r="135" spans="1:3" x14ac:dyDescent="0.25">
      <c r="A135" t="s">
        <v>386</v>
      </c>
      <c r="B135" t="s">
        <v>924</v>
      </c>
      <c r="C135" t="s">
        <v>925</v>
      </c>
    </row>
    <row r="136" spans="1:3" x14ac:dyDescent="0.25">
      <c r="A136" t="s">
        <v>386</v>
      </c>
      <c r="B136" t="s">
        <v>924</v>
      </c>
      <c r="C136" t="s">
        <v>925</v>
      </c>
    </row>
    <row r="137" spans="1:3" x14ac:dyDescent="0.25">
      <c r="A137" t="s">
        <v>386</v>
      </c>
      <c r="B137" t="s">
        <v>924</v>
      </c>
      <c r="C137" t="s">
        <v>925</v>
      </c>
    </row>
    <row r="138" spans="1:3" x14ac:dyDescent="0.25">
      <c r="A138" t="s">
        <v>386</v>
      </c>
      <c r="B138" t="s">
        <v>924</v>
      </c>
      <c r="C138" t="s">
        <v>925</v>
      </c>
    </row>
    <row r="139" spans="1:3" x14ac:dyDescent="0.25">
      <c r="A139" t="s">
        <v>386</v>
      </c>
      <c r="B139" t="s">
        <v>924</v>
      </c>
      <c r="C139" t="s">
        <v>925</v>
      </c>
    </row>
    <row r="140" spans="1:3" x14ac:dyDescent="0.25">
      <c r="A140" t="s">
        <v>386</v>
      </c>
      <c r="B140" t="s">
        <v>924</v>
      </c>
      <c r="C140" t="s">
        <v>925</v>
      </c>
    </row>
    <row r="141" spans="1:3" x14ac:dyDescent="0.25">
      <c r="A141" t="s">
        <v>386</v>
      </c>
      <c r="B141" t="s">
        <v>924</v>
      </c>
      <c r="C141" t="s">
        <v>925</v>
      </c>
    </row>
    <row r="142" spans="1:3" x14ac:dyDescent="0.25">
      <c r="A142" t="s">
        <v>386</v>
      </c>
      <c r="B142" t="s">
        <v>924</v>
      </c>
      <c r="C142" t="s">
        <v>925</v>
      </c>
    </row>
    <row r="143" spans="1:3" x14ac:dyDescent="0.25">
      <c r="A143" t="s">
        <v>386</v>
      </c>
      <c r="B143" t="s">
        <v>924</v>
      </c>
      <c r="C143" t="s">
        <v>925</v>
      </c>
    </row>
    <row r="144" spans="1:3" x14ac:dyDescent="0.25">
      <c r="A144" t="s">
        <v>386</v>
      </c>
      <c r="B144" t="s">
        <v>924</v>
      </c>
      <c r="C144" t="s">
        <v>925</v>
      </c>
    </row>
    <row r="145" spans="1:3" x14ac:dyDescent="0.25">
      <c r="A145" t="s">
        <v>386</v>
      </c>
      <c r="B145" t="s">
        <v>924</v>
      </c>
      <c r="C145" t="s">
        <v>925</v>
      </c>
    </row>
    <row r="146" spans="1:3" x14ac:dyDescent="0.25">
      <c r="A146" t="s">
        <v>386</v>
      </c>
      <c r="B146" t="s">
        <v>924</v>
      </c>
      <c r="C146" t="s">
        <v>925</v>
      </c>
    </row>
    <row r="147" spans="1:3" x14ac:dyDescent="0.25">
      <c r="A147" t="s">
        <v>386</v>
      </c>
      <c r="B147" t="s">
        <v>924</v>
      </c>
      <c r="C147" t="s">
        <v>925</v>
      </c>
    </row>
    <row r="148" spans="1:3" x14ac:dyDescent="0.25">
      <c r="A148" t="s">
        <v>386</v>
      </c>
      <c r="B148" t="s">
        <v>924</v>
      </c>
      <c r="C148" t="s">
        <v>925</v>
      </c>
    </row>
    <row r="149" spans="1:3" x14ac:dyDescent="0.25">
      <c r="A149" t="s">
        <v>386</v>
      </c>
      <c r="B149" t="s">
        <v>924</v>
      </c>
      <c r="C149" t="s">
        <v>925</v>
      </c>
    </row>
    <row r="150" spans="1:3" x14ac:dyDescent="0.25">
      <c r="A150" t="s">
        <v>386</v>
      </c>
      <c r="B150" t="s">
        <v>924</v>
      </c>
      <c r="C150" t="s">
        <v>925</v>
      </c>
    </row>
    <row r="151" spans="1:3" x14ac:dyDescent="0.25">
      <c r="A151" t="s">
        <v>386</v>
      </c>
      <c r="B151" t="s">
        <v>924</v>
      </c>
      <c r="C151" t="s">
        <v>925</v>
      </c>
    </row>
    <row r="152" spans="1:3" x14ac:dyDescent="0.25">
      <c r="A152" t="s">
        <v>386</v>
      </c>
      <c r="B152" t="s">
        <v>924</v>
      </c>
      <c r="C152" t="s">
        <v>925</v>
      </c>
    </row>
    <row r="153" spans="1:3" x14ac:dyDescent="0.25">
      <c r="A153" t="s">
        <v>386</v>
      </c>
      <c r="B153" t="s">
        <v>924</v>
      </c>
      <c r="C153" t="s">
        <v>925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A762-75AD-4A24-8C0E-A06DDB89FA71}">
  <dimension ref="A1:L25"/>
  <sheetViews>
    <sheetView zoomScale="90" zoomScaleNormal="90" workbookViewId="0">
      <selection activeCell="D24" sqref="D24"/>
    </sheetView>
  </sheetViews>
  <sheetFormatPr defaultRowHeight="15" x14ac:dyDescent="0.25"/>
  <cols>
    <col min="1" max="1" width="28.7109375" customWidth="1"/>
    <col min="2" max="4" width="26.5703125" bestFit="1" customWidth="1"/>
    <col min="5" max="5" width="28.7109375" bestFit="1" customWidth="1"/>
    <col min="6" max="6" width="28.7109375" customWidth="1"/>
    <col min="7" max="7" width="28.7109375" bestFit="1" customWidth="1"/>
    <col min="8" max="8" width="28.7109375" customWidth="1"/>
    <col min="9" max="9" width="26.5703125" bestFit="1" customWidth="1"/>
    <col min="10" max="10" width="25.85546875" bestFit="1" customWidth="1"/>
    <col min="11" max="12" width="14.5703125" bestFit="1" customWidth="1"/>
  </cols>
  <sheetData>
    <row r="1" spans="1:12" x14ac:dyDescent="0.25">
      <c r="A1" s="1" t="s">
        <v>666</v>
      </c>
      <c r="B1" s="1" t="s">
        <v>907</v>
      </c>
      <c r="C1" s="1" t="s">
        <v>908</v>
      </c>
      <c r="D1" s="1" t="s">
        <v>909</v>
      </c>
      <c r="E1" s="1" t="s">
        <v>910</v>
      </c>
      <c r="F1" s="1" t="s">
        <v>914</v>
      </c>
      <c r="G1" s="1" t="s">
        <v>911</v>
      </c>
      <c r="H1" s="1" t="s">
        <v>913</v>
      </c>
      <c r="I1" s="1" t="s">
        <v>912</v>
      </c>
      <c r="J1" s="1" t="s">
        <v>915</v>
      </c>
      <c r="K1" s="1" t="s">
        <v>1245</v>
      </c>
      <c r="L1" s="1" t="s">
        <v>1246</v>
      </c>
    </row>
    <row r="2" spans="1:12" x14ac:dyDescent="0.25">
      <c r="A2" t="s">
        <v>904</v>
      </c>
      <c r="B2" t="s">
        <v>916</v>
      </c>
      <c r="C2" t="s">
        <v>916</v>
      </c>
      <c r="D2" t="s">
        <v>916</v>
      </c>
      <c r="E2" t="s">
        <v>916</v>
      </c>
      <c r="F2" t="s">
        <v>916</v>
      </c>
      <c r="G2" t="s">
        <v>916</v>
      </c>
      <c r="H2" t="s">
        <v>916</v>
      </c>
      <c r="I2" t="s">
        <v>916</v>
      </c>
      <c r="J2" t="s">
        <v>916</v>
      </c>
      <c r="K2" t="s">
        <v>916</v>
      </c>
      <c r="L2" t="s">
        <v>916</v>
      </c>
    </row>
    <row r="3" spans="1:12" x14ac:dyDescent="0.25">
      <c r="A3" t="s">
        <v>903</v>
      </c>
      <c r="B3" t="s">
        <v>916</v>
      </c>
      <c r="C3" t="s">
        <v>917</v>
      </c>
      <c r="D3" t="s">
        <v>916</v>
      </c>
      <c r="E3" t="s">
        <v>919</v>
      </c>
      <c r="F3" t="s">
        <v>919</v>
      </c>
      <c r="G3" t="s">
        <v>918</v>
      </c>
      <c r="H3" t="s">
        <v>918</v>
      </c>
      <c r="I3" t="s">
        <v>916</v>
      </c>
      <c r="J3" t="s">
        <v>916</v>
      </c>
      <c r="K3" t="s">
        <v>916</v>
      </c>
      <c r="L3" t="s">
        <v>916</v>
      </c>
    </row>
    <row r="4" spans="1:12" x14ac:dyDescent="0.25">
      <c r="A4" t="s">
        <v>905</v>
      </c>
      <c r="B4" t="s">
        <v>916</v>
      </c>
      <c r="C4" t="s">
        <v>1036</v>
      </c>
      <c r="D4" t="s">
        <v>1037</v>
      </c>
      <c r="E4" t="s">
        <v>916</v>
      </c>
      <c r="F4" t="s">
        <v>916</v>
      </c>
      <c r="G4" t="s">
        <v>1036</v>
      </c>
      <c r="H4" t="s">
        <v>1036</v>
      </c>
      <c r="I4" t="s">
        <v>1037</v>
      </c>
      <c r="J4" t="s">
        <v>1037</v>
      </c>
      <c r="K4" t="s">
        <v>916</v>
      </c>
      <c r="L4" t="s">
        <v>916</v>
      </c>
    </row>
    <row r="5" spans="1:12" x14ac:dyDescent="0.25">
      <c r="A5" t="s">
        <v>906</v>
      </c>
      <c r="B5" t="s">
        <v>916</v>
      </c>
      <c r="C5" t="s">
        <v>933</v>
      </c>
      <c r="D5" t="s">
        <v>934</v>
      </c>
      <c r="E5" t="s">
        <v>916</v>
      </c>
      <c r="F5" t="s">
        <v>916</v>
      </c>
      <c r="G5" t="s">
        <v>933</v>
      </c>
      <c r="H5" t="s">
        <v>933</v>
      </c>
      <c r="I5" t="s">
        <v>934</v>
      </c>
      <c r="J5" t="s">
        <v>934</v>
      </c>
      <c r="K5" t="s">
        <v>916</v>
      </c>
      <c r="L5" t="s">
        <v>916</v>
      </c>
    </row>
    <row r="6" spans="1:12" x14ac:dyDescent="0.25">
      <c r="A6" t="s">
        <v>937</v>
      </c>
      <c r="B6" t="s">
        <v>916</v>
      </c>
      <c r="C6" s="15" t="s">
        <v>939</v>
      </c>
      <c r="D6" s="15" t="s">
        <v>940</v>
      </c>
      <c r="E6" t="s">
        <v>916</v>
      </c>
      <c r="F6" t="s">
        <v>916</v>
      </c>
      <c r="G6" s="15" t="s">
        <v>939</v>
      </c>
      <c r="H6" s="15" t="s">
        <v>939</v>
      </c>
      <c r="I6" s="15" t="s">
        <v>940</v>
      </c>
      <c r="J6" s="15" t="s">
        <v>940</v>
      </c>
      <c r="K6" t="s">
        <v>916</v>
      </c>
      <c r="L6" t="s">
        <v>916</v>
      </c>
    </row>
    <row r="7" spans="1:12" x14ac:dyDescent="0.25">
      <c r="A7" t="s">
        <v>955</v>
      </c>
      <c r="B7" t="s">
        <v>916</v>
      </c>
      <c r="C7" t="s">
        <v>917</v>
      </c>
      <c r="D7" t="s">
        <v>916</v>
      </c>
      <c r="E7" t="s">
        <v>916</v>
      </c>
      <c r="F7" t="s">
        <v>916</v>
      </c>
      <c r="G7" t="s">
        <v>918</v>
      </c>
      <c r="H7" t="s">
        <v>917</v>
      </c>
      <c r="I7" t="s">
        <v>916</v>
      </c>
      <c r="J7" t="s">
        <v>916</v>
      </c>
      <c r="K7" t="s">
        <v>916</v>
      </c>
      <c r="L7" t="s">
        <v>916</v>
      </c>
    </row>
    <row r="8" spans="1:12" x14ac:dyDescent="0.25">
      <c r="A8" t="s">
        <v>947</v>
      </c>
      <c r="B8" t="s">
        <v>916</v>
      </c>
      <c r="C8" t="s">
        <v>949</v>
      </c>
      <c r="D8" t="s">
        <v>916</v>
      </c>
      <c r="E8" t="s">
        <v>916</v>
      </c>
      <c r="F8" t="s">
        <v>916</v>
      </c>
      <c r="G8" t="s">
        <v>949</v>
      </c>
      <c r="H8" t="s">
        <v>949</v>
      </c>
      <c r="I8" t="s">
        <v>916</v>
      </c>
      <c r="J8" t="s">
        <v>916</v>
      </c>
      <c r="K8" t="s">
        <v>916</v>
      </c>
      <c r="L8" t="s">
        <v>916</v>
      </c>
    </row>
    <row r="9" spans="1:12" x14ac:dyDescent="0.25">
      <c r="A9" t="s">
        <v>993</v>
      </c>
      <c r="B9" t="s">
        <v>916</v>
      </c>
      <c r="C9" t="s">
        <v>994</v>
      </c>
      <c r="D9" t="s">
        <v>916</v>
      </c>
      <c r="E9" t="s">
        <v>995</v>
      </c>
      <c r="F9" t="s">
        <v>995</v>
      </c>
      <c r="G9" t="s">
        <v>996</v>
      </c>
      <c r="H9" t="s">
        <v>994</v>
      </c>
      <c r="I9" t="s">
        <v>916</v>
      </c>
      <c r="J9" t="s">
        <v>916</v>
      </c>
      <c r="K9" t="s">
        <v>916</v>
      </c>
      <c r="L9" t="s">
        <v>916</v>
      </c>
    </row>
    <row r="10" spans="1:12" x14ac:dyDescent="0.25">
      <c r="A10" t="s">
        <v>1044</v>
      </c>
      <c r="B10" t="s">
        <v>916</v>
      </c>
      <c r="C10" t="s">
        <v>917</v>
      </c>
      <c r="D10" t="s">
        <v>1038</v>
      </c>
      <c r="E10" t="s">
        <v>916</v>
      </c>
      <c r="F10" t="s">
        <v>916</v>
      </c>
      <c r="G10" t="s">
        <v>918</v>
      </c>
      <c r="H10" t="s">
        <v>918</v>
      </c>
      <c r="I10" t="s">
        <v>1038</v>
      </c>
      <c r="J10" t="s">
        <v>1038</v>
      </c>
      <c r="K10" t="s">
        <v>916</v>
      </c>
      <c r="L10" t="s">
        <v>916</v>
      </c>
    </row>
    <row r="11" spans="1:12" x14ac:dyDescent="0.25">
      <c r="A11" t="s">
        <v>1045</v>
      </c>
      <c r="B11" t="s">
        <v>916</v>
      </c>
      <c r="C11" t="s">
        <v>1039</v>
      </c>
      <c r="D11" t="s">
        <v>916</v>
      </c>
      <c r="E11" t="s">
        <v>916</v>
      </c>
      <c r="F11" t="s">
        <v>916</v>
      </c>
      <c r="G11" s="8" t="s">
        <v>1039</v>
      </c>
      <c r="H11" s="8" t="s">
        <v>1039</v>
      </c>
      <c r="I11" t="s">
        <v>916</v>
      </c>
      <c r="J11" t="s">
        <v>916</v>
      </c>
      <c r="K11" t="s">
        <v>916</v>
      </c>
      <c r="L11" t="s">
        <v>916</v>
      </c>
    </row>
    <row r="12" spans="1:12" x14ac:dyDescent="0.25">
      <c r="A12" t="s">
        <v>1046</v>
      </c>
      <c r="B12" t="s">
        <v>1040</v>
      </c>
      <c r="C12" t="s">
        <v>917</v>
      </c>
      <c r="D12" t="s">
        <v>916</v>
      </c>
      <c r="E12" t="s">
        <v>1040</v>
      </c>
      <c r="F12" t="s">
        <v>1040</v>
      </c>
      <c r="G12" t="s">
        <v>918</v>
      </c>
      <c r="H12" t="s">
        <v>918</v>
      </c>
      <c r="I12" t="s">
        <v>916</v>
      </c>
      <c r="J12" t="s">
        <v>916</v>
      </c>
      <c r="K12" t="s">
        <v>916</v>
      </c>
      <c r="L12" t="s">
        <v>916</v>
      </c>
    </row>
    <row r="13" spans="1:12" x14ac:dyDescent="0.25">
      <c r="A13" t="s">
        <v>1048</v>
      </c>
      <c r="B13" t="s">
        <v>916</v>
      </c>
      <c r="C13" t="s">
        <v>1041</v>
      </c>
      <c r="D13" t="s">
        <v>1042</v>
      </c>
      <c r="E13" t="s">
        <v>916</v>
      </c>
      <c r="F13" t="s">
        <v>916</v>
      </c>
      <c r="G13" t="s">
        <v>1041</v>
      </c>
      <c r="H13" t="s">
        <v>1041</v>
      </c>
      <c r="I13" t="s">
        <v>1042</v>
      </c>
      <c r="J13" t="s">
        <v>1042</v>
      </c>
      <c r="K13" t="s">
        <v>916</v>
      </c>
      <c r="L13" t="s">
        <v>916</v>
      </c>
    </row>
    <row r="14" spans="1:12" x14ac:dyDescent="0.25">
      <c r="A14" t="s">
        <v>1050</v>
      </c>
      <c r="B14" t="s">
        <v>916</v>
      </c>
      <c r="C14" t="s">
        <v>917</v>
      </c>
      <c r="D14" t="s">
        <v>1043</v>
      </c>
      <c r="E14" t="s">
        <v>916</v>
      </c>
      <c r="F14" t="s">
        <v>916</v>
      </c>
      <c r="G14" t="s">
        <v>918</v>
      </c>
      <c r="H14" t="s">
        <v>918</v>
      </c>
      <c r="I14" t="s">
        <v>1043</v>
      </c>
      <c r="J14" t="s">
        <v>1043</v>
      </c>
      <c r="K14" t="s">
        <v>916</v>
      </c>
      <c r="L14" t="s">
        <v>916</v>
      </c>
    </row>
    <row r="15" spans="1:12" x14ac:dyDescent="0.25">
      <c r="A15" t="s">
        <v>1063</v>
      </c>
      <c r="B15" t="s">
        <v>916</v>
      </c>
      <c r="C15" t="s">
        <v>1064</v>
      </c>
      <c r="D15" t="s">
        <v>916</v>
      </c>
      <c r="E15" t="s">
        <v>916</v>
      </c>
      <c r="F15" t="s">
        <v>916</v>
      </c>
      <c r="G15" t="s">
        <v>1065</v>
      </c>
      <c r="H15" t="s">
        <v>1065</v>
      </c>
      <c r="I15" t="s">
        <v>916</v>
      </c>
      <c r="J15" t="s">
        <v>916</v>
      </c>
      <c r="K15" t="s">
        <v>916</v>
      </c>
      <c r="L15" t="s">
        <v>916</v>
      </c>
    </row>
    <row r="16" spans="1:12" x14ac:dyDescent="0.25">
      <c r="A16" t="s">
        <v>1109</v>
      </c>
      <c r="B16" t="s">
        <v>916</v>
      </c>
      <c r="C16" t="s">
        <v>933</v>
      </c>
      <c r="D16" t="s">
        <v>1037</v>
      </c>
      <c r="E16" t="s">
        <v>916</v>
      </c>
      <c r="F16" t="s">
        <v>916</v>
      </c>
      <c r="G16" t="s">
        <v>933</v>
      </c>
      <c r="H16" t="s">
        <v>933</v>
      </c>
      <c r="I16" t="s">
        <v>1037</v>
      </c>
      <c r="J16" t="s">
        <v>1037</v>
      </c>
      <c r="K16" t="s">
        <v>916</v>
      </c>
      <c r="L16" t="s">
        <v>916</v>
      </c>
    </row>
    <row r="17" spans="1:12" x14ac:dyDescent="0.25">
      <c r="A17" t="s">
        <v>1126</v>
      </c>
      <c r="B17" t="s">
        <v>916</v>
      </c>
      <c r="C17" t="s">
        <v>917</v>
      </c>
      <c r="D17" t="s">
        <v>916</v>
      </c>
      <c r="E17" t="s">
        <v>916</v>
      </c>
      <c r="F17" t="s">
        <v>916</v>
      </c>
      <c r="G17" t="s">
        <v>918</v>
      </c>
      <c r="H17" t="s">
        <v>918</v>
      </c>
      <c r="I17" t="s">
        <v>916</v>
      </c>
      <c r="J17" t="s">
        <v>916</v>
      </c>
      <c r="K17" t="s">
        <v>916</v>
      </c>
      <c r="L17" t="s">
        <v>916</v>
      </c>
    </row>
    <row r="18" spans="1:12" x14ac:dyDescent="0.25">
      <c r="A18" t="s">
        <v>1134</v>
      </c>
      <c r="B18" t="s">
        <v>916</v>
      </c>
      <c r="C18" t="s">
        <v>1036</v>
      </c>
      <c r="D18" t="s">
        <v>916</v>
      </c>
      <c r="E18" t="s">
        <v>916</v>
      </c>
      <c r="F18" t="s">
        <v>916</v>
      </c>
      <c r="G18" t="s">
        <v>1036</v>
      </c>
      <c r="H18" t="s">
        <v>1036</v>
      </c>
      <c r="I18" t="s">
        <v>916</v>
      </c>
      <c r="J18" t="s">
        <v>916</v>
      </c>
      <c r="K18" t="s">
        <v>916</v>
      </c>
      <c r="L18" t="s">
        <v>916</v>
      </c>
    </row>
    <row r="19" spans="1:12" x14ac:dyDescent="0.25">
      <c r="A19" t="s">
        <v>1135</v>
      </c>
      <c r="B19" t="s">
        <v>916</v>
      </c>
      <c r="C19" t="s">
        <v>1136</v>
      </c>
      <c r="D19" t="s">
        <v>1138</v>
      </c>
      <c r="E19" t="s">
        <v>916</v>
      </c>
      <c r="F19" t="s">
        <v>916</v>
      </c>
      <c r="G19" t="s">
        <v>1136</v>
      </c>
      <c r="H19" t="s">
        <v>1136</v>
      </c>
      <c r="I19" t="s">
        <v>1138</v>
      </c>
      <c r="J19" t="s">
        <v>1138</v>
      </c>
      <c r="K19" t="s">
        <v>916</v>
      </c>
      <c r="L19" t="s">
        <v>916</v>
      </c>
    </row>
    <row r="20" spans="1:12" x14ac:dyDescent="0.25">
      <c r="A20" t="s">
        <v>1165</v>
      </c>
      <c r="B20" t="s">
        <v>916</v>
      </c>
      <c r="C20" t="s">
        <v>1171</v>
      </c>
      <c r="D20" t="s">
        <v>1172</v>
      </c>
      <c r="E20" t="s">
        <v>916</v>
      </c>
      <c r="F20" t="s">
        <v>916</v>
      </c>
      <c r="G20" t="s">
        <v>1173</v>
      </c>
      <c r="H20" t="s">
        <v>1173</v>
      </c>
      <c r="I20" t="s">
        <v>1172</v>
      </c>
      <c r="J20" t="s">
        <v>1172</v>
      </c>
      <c r="K20" t="s">
        <v>916</v>
      </c>
      <c r="L20" t="s">
        <v>916</v>
      </c>
    </row>
    <row r="21" spans="1:12" x14ac:dyDescent="0.25">
      <c r="A21" t="s">
        <v>1166</v>
      </c>
      <c r="B21" t="s">
        <v>916</v>
      </c>
      <c r="C21" t="s">
        <v>917</v>
      </c>
      <c r="D21" t="s">
        <v>1174</v>
      </c>
      <c r="E21" t="s">
        <v>919</v>
      </c>
      <c r="F21" t="s">
        <v>919</v>
      </c>
      <c r="G21" t="s">
        <v>918</v>
      </c>
      <c r="H21" t="s">
        <v>918</v>
      </c>
      <c r="I21" t="s">
        <v>1174</v>
      </c>
      <c r="J21" t="s">
        <v>1174</v>
      </c>
      <c r="K21" t="s">
        <v>916</v>
      </c>
      <c r="L21" t="s">
        <v>916</v>
      </c>
    </row>
    <row r="22" spans="1:12" x14ac:dyDescent="0.25">
      <c r="A22" t="s">
        <v>1205</v>
      </c>
      <c r="B22" t="s">
        <v>1040</v>
      </c>
      <c r="C22" t="s">
        <v>917</v>
      </c>
      <c r="D22" t="s">
        <v>916</v>
      </c>
      <c r="E22" t="s">
        <v>1207</v>
      </c>
      <c r="F22" t="s">
        <v>1207</v>
      </c>
      <c r="G22" t="s">
        <v>918</v>
      </c>
      <c r="H22" t="s">
        <v>918</v>
      </c>
      <c r="I22" t="s">
        <v>916</v>
      </c>
      <c r="J22" t="s">
        <v>916</v>
      </c>
      <c r="K22" t="s">
        <v>916</v>
      </c>
      <c r="L22" t="s">
        <v>916</v>
      </c>
    </row>
    <row r="23" spans="1:12" x14ac:dyDescent="0.25">
      <c r="A23" s="14" t="s">
        <v>1206</v>
      </c>
      <c r="B23" t="s">
        <v>916</v>
      </c>
      <c r="C23" t="s">
        <v>1171</v>
      </c>
      <c r="D23" t="s">
        <v>1208</v>
      </c>
      <c r="E23" t="s">
        <v>916</v>
      </c>
      <c r="F23" t="s">
        <v>916</v>
      </c>
      <c r="G23" t="s">
        <v>1173</v>
      </c>
      <c r="H23" t="s">
        <v>1173</v>
      </c>
      <c r="I23" t="s">
        <v>916</v>
      </c>
      <c r="J23" t="s">
        <v>916</v>
      </c>
      <c r="K23" t="s">
        <v>916</v>
      </c>
      <c r="L23" t="s">
        <v>916</v>
      </c>
    </row>
    <row r="24" spans="1:12" x14ac:dyDescent="0.25">
      <c r="A24" t="s">
        <v>1221</v>
      </c>
      <c r="B24" t="s">
        <v>1225</v>
      </c>
      <c r="C24" t="s">
        <v>917</v>
      </c>
      <c r="D24" s="15" t="s">
        <v>1315</v>
      </c>
      <c r="E24" t="s">
        <v>919</v>
      </c>
      <c r="F24" t="s">
        <v>919</v>
      </c>
      <c r="G24" t="s">
        <v>918</v>
      </c>
      <c r="H24" t="s">
        <v>918</v>
      </c>
      <c r="I24" s="15" t="s">
        <v>1315</v>
      </c>
      <c r="J24" s="15" t="s">
        <v>1315</v>
      </c>
      <c r="K24" t="s">
        <v>916</v>
      </c>
      <c r="L24" t="s">
        <v>916</v>
      </c>
    </row>
    <row r="25" spans="1:12" x14ac:dyDescent="0.25">
      <c r="A25" t="s">
        <v>1236</v>
      </c>
      <c r="B25" t="s">
        <v>916</v>
      </c>
      <c r="C25" t="s">
        <v>1234</v>
      </c>
      <c r="D25" t="s">
        <v>1235</v>
      </c>
      <c r="E25" t="s">
        <v>916</v>
      </c>
      <c r="F25" t="s">
        <v>916</v>
      </c>
      <c r="G25" t="s">
        <v>1234</v>
      </c>
      <c r="H25" t="s">
        <v>1234</v>
      </c>
      <c r="I25" t="s">
        <v>1235</v>
      </c>
      <c r="J25" t="s">
        <v>1235</v>
      </c>
      <c r="K25" t="s">
        <v>1234</v>
      </c>
      <c r="L25" t="s">
        <v>1234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9.5703125" customWidth="1"/>
    <col min="2" max="2" width="16.140625" customWidth="1"/>
  </cols>
  <sheetData>
    <row r="1" spans="1:2" s="1" customFormat="1" x14ac:dyDescent="0.25">
      <c r="A1" s="1" t="s">
        <v>534</v>
      </c>
      <c r="B1" s="1" t="s">
        <v>1</v>
      </c>
    </row>
    <row r="2" spans="1:2" x14ac:dyDescent="0.25">
      <c r="A2" t="s">
        <v>42</v>
      </c>
      <c r="B2">
        <v>0</v>
      </c>
    </row>
    <row r="3" spans="1:2" x14ac:dyDescent="0.25">
      <c r="A3" t="s">
        <v>43</v>
      </c>
      <c r="B3">
        <v>1</v>
      </c>
    </row>
    <row r="4" spans="1:2" x14ac:dyDescent="0.25">
      <c r="A4" t="s">
        <v>547</v>
      </c>
      <c r="B4">
        <v>2</v>
      </c>
    </row>
    <row r="5" spans="1:2" x14ac:dyDescent="0.25">
      <c r="A5" t="s">
        <v>44</v>
      </c>
      <c r="B5">
        <v>3</v>
      </c>
    </row>
    <row r="6" spans="1:2" x14ac:dyDescent="0.25">
      <c r="A6" t="s">
        <v>45</v>
      </c>
      <c r="B6">
        <v>4</v>
      </c>
    </row>
    <row r="7" spans="1:2" x14ac:dyDescent="0.25">
      <c r="A7" t="s">
        <v>548</v>
      </c>
      <c r="B7">
        <v>5</v>
      </c>
    </row>
    <row r="8" spans="1:2" x14ac:dyDescent="0.25">
      <c r="A8" t="s">
        <v>595</v>
      </c>
      <c r="B8">
        <v>6</v>
      </c>
    </row>
    <row r="9" spans="1:2" x14ac:dyDescent="0.25">
      <c r="A9" t="s">
        <v>869</v>
      </c>
      <c r="B9">
        <v>7</v>
      </c>
    </row>
    <row r="10" spans="1:2" x14ac:dyDescent="0.25">
      <c r="A10" t="s">
        <v>772</v>
      </c>
      <c r="B10">
        <v>8</v>
      </c>
    </row>
    <row r="11" spans="1:2" x14ac:dyDescent="0.25">
      <c r="A11" t="s">
        <v>46</v>
      </c>
      <c r="B11">
        <v>9</v>
      </c>
    </row>
    <row r="12" spans="1:2" x14ac:dyDescent="0.25">
      <c r="A12" t="s">
        <v>47</v>
      </c>
      <c r="B12">
        <v>10</v>
      </c>
    </row>
    <row r="13" spans="1:2" x14ac:dyDescent="0.25">
      <c r="A13" t="s">
        <v>48</v>
      </c>
      <c r="B13">
        <v>11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6"/>
  <sheetViews>
    <sheetView workbookViewId="0">
      <pane ySplit="1" topLeftCell="A122" activePane="bottomLeft" state="frozen"/>
      <selection pane="bottomLeft" activeCell="A153" sqref="A153"/>
    </sheetView>
  </sheetViews>
  <sheetFormatPr defaultRowHeight="15" x14ac:dyDescent="0.25"/>
  <cols>
    <col min="1" max="1" width="22" customWidth="1"/>
    <col min="2" max="2" width="13.28515625" customWidth="1"/>
  </cols>
  <sheetData>
    <row r="1" spans="1:2" s="1" customFormat="1" x14ac:dyDescent="0.25">
      <c r="A1" s="1" t="s">
        <v>782</v>
      </c>
      <c r="B1" s="1" t="s">
        <v>41</v>
      </c>
    </row>
    <row r="2" spans="1:2" x14ac:dyDescent="0.25">
      <c r="A2" t="s">
        <v>49</v>
      </c>
      <c r="B2">
        <v>0</v>
      </c>
    </row>
    <row r="3" spans="1:2" x14ac:dyDescent="0.25">
      <c r="A3" t="s">
        <v>50</v>
      </c>
      <c r="B3">
        <v>1</v>
      </c>
    </row>
    <row r="4" spans="1:2" x14ac:dyDescent="0.25">
      <c r="A4" t="s">
        <v>51</v>
      </c>
      <c r="B4">
        <v>2</v>
      </c>
    </row>
    <row r="5" spans="1:2" x14ac:dyDescent="0.25">
      <c r="A5" t="s">
        <v>52</v>
      </c>
      <c r="B5">
        <v>3</v>
      </c>
    </row>
    <row r="6" spans="1:2" x14ac:dyDescent="0.25">
      <c r="A6" t="s">
        <v>53</v>
      </c>
      <c r="B6">
        <v>4</v>
      </c>
    </row>
    <row r="7" spans="1:2" x14ac:dyDescent="0.25">
      <c r="A7" t="s">
        <v>54</v>
      </c>
      <c r="B7">
        <v>5</v>
      </c>
    </row>
    <row r="8" spans="1:2" x14ac:dyDescent="0.25">
      <c r="A8" t="s">
        <v>55</v>
      </c>
      <c r="B8">
        <v>6</v>
      </c>
    </row>
    <row r="9" spans="1:2" x14ac:dyDescent="0.25">
      <c r="A9" t="s">
        <v>56</v>
      </c>
      <c r="B9">
        <v>7</v>
      </c>
    </row>
    <row r="10" spans="1:2" x14ac:dyDescent="0.25">
      <c r="A10" t="s">
        <v>57</v>
      </c>
      <c r="B10">
        <v>8</v>
      </c>
    </row>
    <row r="11" spans="1:2" x14ac:dyDescent="0.25">
      <c r="A11" t="s">
        <v>560</v>
      </c>
      <c r="B11">
        <v>9</v>
      </c>
    </row>
    <row r="12" spans="1:2" x14ac:dyDescent="0.25">
      <c r="A12" t="s">
        <v>558</v>
      </c>
      <c r="B12">
        <v>10</v>
      </c>
    </row>
    <row r="13" spans="1:2" x14ac:dyDescent="0.25">
      <c r="A13" t="s">
        <v>552</v>
      </c>
      <c r="B13">
        <v>11</v>
      </c>
    </row>
    <row r="14" spans="1:2" x14ac:dyDescent="0.25">
      <c r="A14" t="s">
        <v>879</v>
      </c>
      <c r="B14">
        <v>12</v>
      </c>
    </row>
    <row r="15" spans="1:2" x14ac:dyDescent="0.25">
      <c r="A15" t="s">
        <v>900</v>
      </c>
      <c r="B15">
        <v>13</v>
      </c>
    </row>
    <row r="16" spans="1:2" x14ac:dyDescent="0.25">
      <c r="A16" t="s">
        <v>58</v>
      </c>
      <c r="B16">
        <v>14</v>
      </c>
    </row>
    <row r="17" spans="1:2" x14ac:dyDescent="0.25">
      <c r="A17" t="s">
        <v>549</v>
      </c>
      <c r="B17">
        <v>15</v>
      </c>
    </row>
    <row r="18" spans="1:2" x14ac:dyDescent="0.25">
      <c r="A18" t="s">
        <v>59</v>
      </c>
      <c r="B18">
        <v>16</v>
      </c>
    </row>
    <row r="19" spans="1:2" x14ac:dyDescent="0.25">
      <c r="A19" t="s">
        <v>60</v>
      </c>
      <c r="B19">
        <v>17</v>
      </c>
    </row>
    <row r="20" spans="1:2" x14ac:dyDescent="0.25">
      <c r="A20" t="s">
        <v>61</v>
      </c>
      <c r="B20">
        <v>18</v>
      </c>
    </row>
    <row r="21" spans="1:2" x14ac:dyDescent="0.25">
      <c r="A21" t="s">
        <v>62</v>
      </c>
      <c r="B21">
        <v>19</v>
      </c>
    </row>
    <row r="22" spans="1:2" x14ac:dyDescent="0.25">
      <c r="A22" t="s">
        <v>63</v>
      </c>
      <c r="B22">
        <v>20</v>
      </c>
    </row>
    <row r="23" spans="1:2" x14ac:dyDescent="0.25">
      <c r="A23" t="s">
        <v>64</v>
      </c>
      <c r="B23">
        <v>21</v>
      </c>
    </row>
    <row r="24" spans="1:2" x14ac:dyDescent="0.25">
      <c r="A24" t="s">
        <v>65</v>
      </c>
      <c r="B24">
        <v>22</v>
      </c>
    </row>
    <row r="25" spans="1:2" x14ac:dyDescent="0.25">
      <c r="A25" t="s">
        <v>555</v>
      </c>
      <c r="B25">
        <v>23</v>
      </c>
    </row>
    <row r="26" spans="1:2" x14ac:dyDescent="0.25">
      <c r="A26" t="s">
        <v>570</v>
      </c>
      <c r="B26">
        <v>24</v>
      </c>
    </row>
    <row r="27" spans="1:2" x14ac:dyDescent="0.25">
      <c r="A27" t="s">
        <v>550</v>
      </c>
      <c r="B27">
        <v>25</v>
      </c>
    </row>
    <row r="28" spans="1:2" x14ac:dyDescent="0.25">
      <c r="A28" t="s">
        <v>561</v>
      </c>
      <c r="B28">
        <v>26</v>
      </c>
    </row>
    <row r="29" spans="1:2" x14ac:dyDescent="0.25">
      <c r="A29" t="s">
        <v>559</v>
      </c>
      <c r="B29">
        <v>27</v>
      </c>
    </row>
    <row r="30" spans="1:2" x14ac:dyDescent="0.25">
      <c r="A30" t="s">
        <v>553</v>
      </c>
      <c r="B30">
        <v>28</v>
      </c>
    </row>
    <row r="31" spans="1:2" x14ac:dyDescent="0.25">
      <c r="A31" t="s">
        <v>790</v>
      </c>
      <c r="B31">
        <v>29</v>
      </c>
    </row>
    <row r="32" spans="1:2" x14ac:dyDescent="0.25">
      <c r="A32" t="s">
        <v>880</v>
      </c>
      <c r="B32">
        <v>30</v>
      </c>
    </row>
    <row r="33" spans="1:2" x14ac:dyDescent="0.25">
      <c r="A33" t="s">
        <v>881</v>
      </c>
      <c r="B33">
        <v>31</v>
      </c>
    </row>
    <row r="34" spans="1:2" x14ac:dyDescent="0.25">
      <c r="A34" t="s">
        <v>1070</v>
      </c>
      <c r="B34">
        <v>32</v>
      </c>
    </row>
    <row r="35" spans="1:2" x14ac:dyDescent="0.25">
      <c r="A35" t="s">
        <v>1089</v>
      </c>
      <c r="B35">
        <v>33</v>
      </c>
    </row>
    <row r="36" spans="1:2" x14ac:dyDescent="0.25">
      <c r="A36" t="s">
        <v>1074</v>
      </c>
      <c r="B36">
        <v>34</v>
      </c>
    </row>
    <row r="37" spans="1:2" x14ac:dyDescent="0.25">
      <c r="A37" t="s">
        <v>1073</v>
      </c>
      <c r="B37">
        <v>35</v>
      </c>
    </row>
    <row r="38" spans="1:2" x14ac:dyDescent="0.25">
      <c r="A38" t="s">
        <v>1078</v>
      </c>
      <c r="B38">
        <v>36</v>
      </c>
    </row>
    <row r="39" spans="1:2" x14ac:dyDescent="0.25">
      <c r="A39" t="s">
        <v>1080</v>
      </c>
      <c r="B39">
        <v>37</v>
      </c>
    </row>
    <row r="40" spans="1:2" x14ac:dyDescent="0.25">
      <c r="A40" t="s">
        <v>1079</v>
      </c>
      <c r="B40">
        <v>38</v>
      </c>
    </row>
    <row r="41" spans="1:2" x14ac:dyDescent="0.25">
      <c r="A41" t="s">
        <v>1129</v>
      </c>
      <c r="B41">
        <v>39</v>
      </c>
    </row>
    <row r="42" spans="1:2" x14ac:dyDescent="0.25">
      <c r="A42" t="s">
        <v>1090</v>
      </c>
      <c r="B42">
        <v>40</v>
      </c>
    </row>
    <row r="43" spans="1:2" x14ac:dyDescent="0.25">
      <c r="A43" t="s">
        <v>1076</v>
      </c>
      <c r="B43">
        <v>41</v>
      </c>
    </row>
    <row r="44" spans="1:2" x14ac:dyDescent="0.25">
      <c r="A44" t="s">
        <v>1081</v>
      </c>
      <c r="B44">
        <v>42</v>
      </c>
    </row>
    <row r="45" spans="1:2" x14ac:dyDescent="0.25">
      <c r="A45" t="s">
        <v>1075</v>
      </c>
      <c r="B45">
        <v>43</v>
      </c>
    </row>
    <row r="46" spans="1:2" x14ac:dyDescent="0.25">
      <c r="A46" t="s">
        <v>1091</v>
      </c>
      <c r="B46">
        <v>44</v>
      </c>
    </row>
    <row r="47" spans="1:2" x14ac:dyDescent="0.25">
      <c r="A47" t="s">
        <v>1085</v>
      </c>
      <c r="B47">
        <v>45</v>
      </c>
    </row>
    <row r="48" spans="1:2" x14ac:dyDescent="0.25">
      <c r="A48" t="s">
        <v>1077</v>
      </c>
      <c r="B48">
        <v>46</v>
      </c>
    </row>
    <row r="49" spans="1:2" x14ac:dyDescent="0.25">
      <c r="A49" t="s">
        <v>1071</v>
      </c>
      <c r="B49">
        <v>47</v>
      </c>
    </row>
    <row r="50" spans="1:2" x14ac:dyDescent="0.25">
      <c r="A50" t="s">
        <v>1083</v>
      </c>
      <c r="B50">
        <v>48</v>
      </c>
    </row>
    <row r="51" spans="1:2" x14ac:dyDescent="0.25">
      <c r="A51" t="s">
        <v>1084</v>
      </c>
      <c r="B51">
        <v>49</v>
      </c>
    </row>
    <row r="52" spans="1:2" x14ac:dyDescent="0.25">
      <c r="A52" t="s">
        <v>1092</v>
      </c>
      <c r="B52">
        <v>50</v>
      </c>
    </row>
    <row r="53" spans="1:2" x14ac:dyDescent="0.25">
      <c r="A53" t="s">
        <v>1072</v>
      </c>
      <c r="B53">
        <v>51</v>
      </c>
    </row>
    <row r="54" spans="1:2" x14ac:dyDescent="0.25">
      <c r="A54" t="s">
        <v>1093</v>
      </c>
      <c r="B54">
        <v>52</v>
      </c>
    </row>
    <row r="55" spans="1:2" x14ac:dyDescent="0.25">
      <c r="A55" t="s">
        <v>1082</v>
      </c>
      <c r="B55">
        <v>53</v>
      </c>
    </row>
    <row r="56" spans="1:2" x14ac:dyDescent="0.25">
      <c r="A56" t="s">
        <v>1094</v>
      </c>
      <c r="B56">
        <v>54</v>
      </c>
    </row>
    <row r="57" spans="1:2" x14ac:dyDescent="0.25">
      <c r="A57" t="s">
        <v>66</v>
      </c>
      <c r="B57">
        <v>55</v>
      </c>
    </row>
    <row r="58" spans="1:2" x14ac:dyDescent="0.25">
      <c r="A58" t="s">
        <v>67</v>
      </c>
      <c r="B58">
        <v>56</v>
      </c>
    </row>
    <row r="59" spans="1:2" x14ac:dyDescent="0.25">
      <c r="A59" t="s">
        <v>556</v>
      </c>
      <c r="B59">
        <v>57</v>
      </c>
    </row>
    <row r="60" spans="1:2" x14ac:dyDescent="0.25">
      <c r="A60" t="s">
        <v>68</v>
      </c>
      <c r="B60">
        <v>58</v>
      </c>
    </row>
    <row r="61" spans="1:2" x14ac:dyDescent="0.25">
      <c r="A61" t="s">
        <v>69</v>
      </c>
      <c r="B61">
        <v>59</v>
      </c>
    </row>
    <row r="62" spans="1:2" x14ac:dyDescent="0.25">
      <c r="A62" t="s">
        <v>70</v>
      </c>
      <c r="B62">
        <v>60</v>
      </c>
    </row>
    <row r="63" spans="1:2" x14ac:dyDescent="0.25">
      <c r="A63" t="s">
        <v>71</v>
      </c>
      <c r="B63">
        <v>61</v>
      </c>
    </row>
    <row r="64" spans="1:2" x14ac:dyDescent="0.25">
      <c r="A64" t="s">
        <v>72</v>
      </c>
      <c r="B64">
        <v>62</v>
      </c>
    </row>
    <row r="65" spans="1:2" x14ac:dyDescent="0.25">
      <c r="A65" t="s">
        <v>73</v>
      </c>
      <c r="B65">
        <v>63</v>
      </c>
    </row>
    <row r="66" spans="1:2" x14ac:dyDescent="0.25">
      <c r="A66" t="s">
        <v>551</v>
      </c>
      <c r="B66">
        <v>64</v>
      </c>
    </row>
    <row r="67" spans="1:2" x14ac:dyDescent="0.25">
      <c r="A67" t="s">
        <v>769</v>
      </c>
      <c r="B67">
        <v>65</v>
      </c>
    </row>
    <row r="68" spans="1:2" x14ac:dyDescent="0.25">
      <c r="A68" t="s">
        <v>791</v>
      </c>
      <c r="B68">
        <v>66</v>
      </c>
    </row>
    <row r="69" spans="1:2" x14ac:dyDescent="0.25">
      <c r="A69" t="s">
        <v>74</v>
      </c>
      <c r="B69">
        <v>67</v>
      </c>
    </row>
    <row r="70" spans="1:2" x14ac:dyDescent="0.25">
      <c r="A70" t="s">
        <v>554</v>
      </c>
      <c r="B70">
        <v>68</v>
      </c>
    </row>
    <row r="71" spans="1:2" x14ac:dyDescent="0.25">
      <c r="A71" t="s">
        <v>557</v>
      </c>
      <c r="B71">
        <v>69</v>
      </c>
    </row>
    <row r="72" spans="1:2" x14ac:dyDescent="0.25">
      <c r="A72" t="s">
        <v>583</v>
      </c>
      <c r="B72">
        <v>70</v>
      </c>
    </row>
    <row r="73" spans="1:2" x14ac:dyDescent="0.25">
      <c r="A73" t="s">
        <v>591</v>
      </c>
      <c r="B73">
        <v>71</v>
      </c>
    </row>
    <row r="74" spans="1:2" x14ac:dyDescent="0.25">
      <c r="A74" t="s">
        <v>75</v>
      </c>
      <c r="B74">
        <v>72</v>
      </c>
    </row>
    <row r="75" spans="1:2" x14ac:dyDescent="0.25">
      <c r="A75" t="s">
        <v>792</v>
      </c>
      <c r="B75">
        <v>73</v>
      </c>
    </row>
    <row r="76" spans="1:2" x14ac:dyDescent="0.25">
      <c r="A76" t="s">
        <v>870</v>
      </c>
      <c r="B76">
        <v>74</v>
      </c>
    </row>
    <row r="77" spans="1:2" x14ac:dyDescent="0.25">
      <c r="A77" t="s">
        <v>871</v>
      </c>
      <c r="B77">
        <v>75</v>
      </c>
    </row>
    <row r="78" spans="1:2" x14ac:dyDescent="0.25">
      <c r="A78" t="s">
        <v>76</v>
      </c>
      <c r="B78">
        <v>76</v>
      </c>
    </row>
    <row r="79" spans="1:2" x14ac:dyDescent="0.25">
      <c r="A79" t="s">
        <v>571</v>
      </c>
      <c r="B79">
        <v>77</v>
      </c>
    </row>
    <row r="80" spans="1:2" x14ac:dyDescent="0.25">
      <c r="A80" t="s">
        <v>572</v>
      </c>
      <c r="B80">
        <v>78</v>
      </c>
    </row>
    <row r="81" spans="1:2" x14ac:dyDescent="0.25">
      <c r="A81" t="s">
        <v>596</v>
      </c>
      <c r="B81">
        <v>79</v>
      </c>
    </row>
    <row r="82" spans="1:2" x14ac:dyDescent="0.25">
      <c r="A82" t="s">
        <v>768</v>
      </c>
      <c r="B82">
        <v>80</v>
      </c>
    </row>
    <row r="83" spans="1:2" x14ac:dyDescent="0.25">
      <c r="A83" t="s">
        <v>1086</v>
      </c>
      <c r="B83">
        <v>81</v>
      </c>
    </row>
    <row r="84" spans="1:2" x14ac:dyDescent="0.25">
      <c r="A84" t="s">
        <v>969</v>
      </c>
      <c r="B84">
        <v>82</v>
      </c>
    </row>
    <row r="85" spans="1:2" x14ac:dyDescent="0.25">
      <c r="A85" t="s">
        <v>970</v>
      </c>
      <c r="B85">
        <v>83</v>
      </c>
    </row>
    <row r="86" spans="1:2" x14ac:dyDescent="0.25">
      <c r="A86" t="s">
        <v>895</v>
      </c>
      <c r="B86">
        <v>84</v>
      </c>
    </row>
    <row r="87" spans="1:2" x14ac:dyDescent="0.25">
      <c r="A87" t="s">
        <v>896</v>
      </c>
      <c r="B87">
        <v>85</v>
      </c>
    </row>
    <row r="88" spans="1:2" x14ac:dyDescent="0.25">
      <c r="A88" t="s">
        <v>943</v>
      </c>
      <c r="B88">
        <v>86</v>
      </c>
    </row>
    <row r="89" spans="1:2" x14ac:dyDescent="0.25">
      <c r="A89" t="s">
        <v>972</v>
      </c>
      <c r="B89">
        <v>87</v>
      </c>
    </row>
    <row r="90" spans="1:2" x14ac:dyDescent="0.25">
      <c r="A90" t="s">
        <v>990</v>
      </c>
      <c r="B90">
        <v>88</v>
      </c>
    </row>
    <row r="91" spans="1:2" x14ac:dyDescent="0.25">
      <c r="A91" t="s">
        <v>992</v>
      </c>
      <c r="B91">
        <v>89</v>
      </c>
    </row>
    <row r="92" spans="1:2" x14ac:dyDescent="0.25">
      <c r="A92" t="s">
        <v>991</v>
      </c>
      <c r="B92">
        <v>90</v>
      </c>
    </row>
    <row r="93" spans="1:2" x14ac:dyDescent="0.25">
      <c r="A93" s="8" t="s">
        <v>1022</v>
      </c>
      <c r="B93">
        <v>91</v>
      </c>
    </row>
    <row r="94" spans="1:2" x14ac:dyDescent="0.25">
      <c r="A94" t="s">
        <v>1095</v>
      </c>
      <c r="B94">
        <v>92</v>
      </c>
    </row>
    <row r="95" spans="1:2" x14ac:dyDescent="0.25">
      <c r="A95" t="s">
        <v>1023</v>
      </c>
      <c r="B95">
        <v>93</v>
      </c>
    </row>
    <row r="96" spans="1:2" x14ac:dyDescent="0.25">
      <c r="A96" t="s">
        <v>1024</v>
      </c>
      <c r="B96">
        <v>94</v>
      </c>
    </row>
    <row r="97" spans="1:2" x14ac:dyDescent="0.25">
      <c r="A97" t="s">
        <v>1058</v>
      </c>
      <c r="B97">
        <v>95</v>
      </c>
    </row>
    <row r="98" spans="1:2" x14ac:dyDescent="0.25">
      <c r="A98" t="s">
        <v>1087</v>
      </c>
      <c r="B98">
        <v>96</v>
      </c>
    </row>
    <row r="99" spans="1:2" x14ac:dyDescent="0.25">
      <c r="A99" t="s">
        <v>1059</v>
      </c>
      <c r="B99">
        <v>97</v>
      </c>
    </row>
    <row r="100" spans="1:2" x14ac:dyDescent="0.25">
      <c r="A100" t="s">
        <v>1088</v>
      </c>
      <c r="B100">
        <v>98</v>
      </c>
    </row>
    <row r="101" spans="1:2" x14ac:dyDescent="0.25">
      <c r="A101" t="s">
        <v>1096</v>
      </c>
      <c r="B101">
        <v>99</v>
      </c>
    </row>
    <row r="102" spans="1:2" x14ac:dyDescent="0.25">
      <c r="A102" t="s">
        <v>1099</v>
      </c>
      <c r="B102">
        <v>100</v>
      </c>
    </row>
    <row r="103" spans="1:2" x14ac:dyDescent="0.25">
      <c r="A103" t="s">
        <v>1100</v>
      </c>
      <c r="B103">
        <v>101</v>
      </c>
    </row>
    <row r="104" spans="1:2" x14ac:dyDescent="0.25">
      <c r="A104" t="s">
        <v>1101</v>
      </c>
      <c r="B104">
        <v>102</v>
      </c>
    </row>
    <row r="105" spans="1:2" x14ac:dyDescent="0.25">
      <c r="A105" t="s">
        <v>1102</v>
      </c>
      <c r="B105">
        <v>103</v>
      </c>
    </row>
    <row r="106" spans="1:2" x14ac:dyDescent="0.25">
      <c r="A106" t="s">
        <v>1103</v>
      </c>
      <c r="B106">
        <v>104</v>
      </c>
    </row>
    <row r="107" spans="1:2" x14ac:dyDescent="0.25">
      <c r="A107" t="s">
        <v>1104</v>
      </c>
      <c r="B107">
        <v>105</v>
      </c>
    </row>
    <row r="108" spans="1:2" x14ac:dyDescent="0.25">
      <c r="A108" t="s">
        <v>1105</v>
      </c>
      <c r="B108">
        <v>106</v>
      </c>
    </row>
    <row r="109" spans="1:2" x14ac:dyDescent="0.25">
      <c r="A109" t="s">
        <v>1106</v>
      </c>
      <c r="B109">
        <v>107</v>
      </c>
    </row>
    <row r="110" spans="1:2" x14ac:dyDescent="0.25">
      <c r="A110" t="s">
        <v>1107</v>
      </c>
      <c r="B110">
        <v>108</v>
      </c>
    </row>
    <row r="111" spans="1:2" x14ac:dyDescent="0.25">
      <c r="A111" t="s">
        <v>1108</v>
      </c>
      <c r="B111">
        <v>109</v>
      </c>
    </row>
    <row r="112" spans="1:2" x14ac:dyDescent="0.25">
      <c r="A112" t="s">
        <v>1130</v>
      </c>
      <c r="B112">
        <v>110</v>
      </c>
    </row>
    <row r="113" spans="1:2" x14ac:dyDescent="0.25">
      <c r="A113" t="s">
        <v>1131</v>
      </c>
      <c r="B113">
        <v>111</v>
      </c>
    </row>
    <row r="114" spans="1:2" x14ac:dyDescent="0.25">
      <c r="A114" t="s">
        <v>1139</v>
      </c>
      <c r="B114">
        <v>112</v>
      </c>
    </row>
    <row r="115" spans="1:2" x14ac:dyDescent="0.25">
      <c r="A115" t="s">
        <v>1140</v>
      </c>
      <c r="B115">
        <v>113</v>
      </c>
    </row>
    <row r="116" spans="1:2" x14ac:dyDescent="0.25">
      <c r="A116" t="s">
        <v>1141</v>
      </c>
      <c r="B116">
        <v>114</v>
      </c>
    </row>
    <row r="117" spans="1:2" x14ac:dyDescent="0.25">
      <c r="A117" t="s">
        <v>1147</v>
      </c>
      <c r="B117">
        <v>115</v>
      </c>
    </row>
    <row r="118" spans="1:2" x14ac:dyDescent="0.25">
      <c r="A118" t="s">
        <v>1148</v>
      </c>
      <c r="B118">
        <v>116</v>
      </c>
    </row>
    <row r="119" spans="1:2" x14ac:dyDescent="0.25">
      <c r="A119" t="s">
        <v>1149</v>
      </c>
      <c r="B119">
        <v>117</v>
      </c>
    </row>
    <row r="120" spans="1:2" x14ac:dyDescent="0.25">
      <c r="A120" t="s">
        <v>1150</v>
      </c>
      <c r="B120">
        <v>118</v>
      </c>
    </row>
    <row r="121" spans="1:2" x14ac:dyDescent="0.25">
      <c r="A121" t="s">
        <v>1155</v>
      </c>
      <c r="B121">
        <v>119</v>
      </c>
    </row>
    <row r="122" spans="1:2" x14ac:dyDescent="0.25">
      <c r="A122" t="s">
        <v>1156</v>
      </c>
      <c r="B122">
        <v>120</v>
      </c>
    </row>
    <row r="123" spans="1:2" x14ac:dyDescent="0.25">
      <c r="A123" t="s">
        <v>1157</v>
      </c>
      <c r="B123">
        <v>121</v>
      </c>
    </row>
    <row r="124" spans="1:2" x14ac:dyDescent="0.25">
      <c r="A124" t="s">
        <v>1158</v>
      </c>
      <c r="B124">
        <v>122</v>
      </c>
    </row>
    <row r="125" spans="1:2" x14ac:dyDescent="0.25">
      <c r="A125" t="s">
        <v>1159</v>
      </c>
      <c r="B125">
        <v>123</v>
      </c>
    </row>
    <row r="126" spans="1:2" x14ac:dyDescent="0.25">
      <c r="A126" t="s">
        <v>1160</v>
      </c>
      <c r="B126">
        <v>124</v>
      </c>
    </row>
    <row r="127" spans="1:2" x14ac:dyDescent="0.25">
      <c r="A127" t="s">
        <v>1161</v>
      </c>
      <c r="B127">
        <v>125</v>
      </c>
    </row>
    <row r="128" spans="1:2" x14ac:dyDescent="0.25">
      <c r="A128" t="s">
        <v>1162</v>
      </c>
      <c r="B128">
        <v>126</v>
      </c>
    </row>
    <row r="129" spans="1:2" x14ac:dyDescent="0.25">
      <c r="A129" t="s">
        <v>1190</v>
      </c>
      <c r="B129">
        <v>127</v>
      </c>
    </row>
    <row r="130" spans="1:2" x14ac:dyDescent="0.25">
      <c r="A130" t="s">
        <v>1175</v>
      </c>
      <c r="B130">
        <v>128</v>
      </c>
    </row>
    <row r="131" spans="1:2" x14ac:dyDescent="0.25">
      <c r="A131" t="s">
        <v>1176</v>
      </c>
      <c r="B131">
        <v>129</v>
      </c>
    </row>
    <row r="132" spans="1:2" x14ac:dyDescent="0.25">
      <c r="A132" t="s">
        <v>1178</v>
      </c>
      <c r="B132">
        <v>130</v>
      </c>
    </row>
    <row r="133" spans="1:2" x14ac:dyDescent="0.25">
      <c r="A133" t="s">
        <v>1179</v>
      </c>
      <c r="B133">
        <v>131</v>
      </c>
    </row>
    <row r="134" spans="1:2" x14ac:dyDescent="0.25">
      <c r="A134" t="s">
        <v>1177</v>
      </c>
      <c r="B134">
        <v>132</v>
      </c>
    </row>
    <row r="135" spans="1:2" x14ac:dyDescent="0.25">
      <c r="A135" t="s">
        <v>1191</v>
      </c>
      <c r="B135">
        <v>133</v>
      </c>
    </row>
    <row r="136" spans="1:2" x14ac:dyDescent="0.25">
      <c r="A136" t="s">
        <v>1192</v>
      </c>
      <c r="B136">
        <v>134</v>
      </c>
    </row>
    <row r="137" spans="1:2" x14ac:dyDescent="0.25">
      <c r="A137" t="s">
        <v>1193</v>
      </c>
      <c r="B137">
        <v>135</v>
      </c>
    </row>
    <row r="138" spans="1:2" x14ac:dyDescent="0.25">
      <c r="A138" t="s">
        <v>1194</v>
      </c>
      <c r="B138">
        <v>136</v>
      </c>
    </row>
    <row r="139" spans="1:2" x14ac:dyDescent="0.25">
      <c r="A139" t="s">
        <v>1200</v>
      </c>
      <c r="B139">
        <v>137</v>
      </c>
    </row>
    <row r="140" spans="1:2" x14ac:dyDescent="0.25">
      <c r="A140" t="s">
        <v>1201</v>
      </c>
      <c r="B140">
        <v>138</v>
      </c>
    </row>
    <row r="141" spans="1:2" x14ac:dyDescent="0.25">
      <c r="A141" t="s">
        <v>1202</v>
      </c>
      <c r="B141">
        <v>139</v>
      </c>
    </row>
    <row r="142" spans="1:2" x14ac:dyDescent="0.25">
      <c r="A142" t="s">
        <v>1209</v>
      </c>
      <c r="B142">
        <v>140</v>
      </c>
    </row>
    <row r="143" spans="1:2" x14ac:dyDescent="0.25">
      <c r="A143" t="s">
        <v>1218</v>
      </c>
      <c r="B143">
        <v>141</v>
      </c>
    </row>
    <row r="144" spans="1:2" x14ac:dyDescent="0.25">
      <c r="A144" t="s">
        <v>1210</v>
      </c>
      <c r="B144">
        <v>142</v>
      </c>
    </row>
    <row r="145" spans="1:2" x14ac:dyDescent="0.25">
      <c r="A145" t="s">
        <v>1211</v>
      </c>
      <c r="B145">
        <v>143</v>
      </c>
    </row>
    <row r="146" spans="1:2" x14ac:dyDescent="0.25">
      <c r="A146" t="s">
        <v>1231</v>
      </c>
      <c r="B146">
        <v>144</v>
      </c>
    </row>
    <row r="147" spans="1:2" x14ac:dyDescent="0.25">
      <c r="A147" t="s">
        <v>1232</v>
      </c>
      <c r="B147">
        <v>145</v>
      </c>
    </row>
    <row r="148" spans="1:2" x14ac:dyDescent="0.25">
      <c r="A148" t="s">
        <v>1233</v>
      </c>
      <c r="B148">
        <v>146</v>
      </c>
    </row>
    <row r="149" spans="1:2" x14ac:dyDescent="0.25">
      <c r="A149" t="s">
        <v>1241</v>
      </c>
      <c r="B149">
        <v>147</v>
      </c>
    </row>
    <row r="150" spans="1:2" x14ac:dyDescent="0.25">
      <c r="A150" t="s">
        <v>1314</v>
      </c>
      <c r="B150">
        <v>148</v>
      </c>
    </row>
    <row r="151" spans="1:2" x14ac:dyDescent="0.25">
      <c r="A151" s="15" t="s">
        <v>1320</v>
      </c>
      <c r="B151" s="15">
        <v>149</v>
      </c>
    </row>
    <row r="152" spans="1:2" x14ac:dyDescent="0.25">
      <c r="A152" s="15" t="s">
        <v>1312</v>
      </c>
      <c r="B152" s="15">
        <v>150</v>
      </c>
    </row>
    <row r="153" spans="1:2" x14ac:dyDescent="0.25">
      <c r="A153" s="15" t="s">
        <v>1328</v>
      </c>
      <c r="B153" s="15">
        <v>151</v>
      </c>
    </row>
    <row r="154" spans="1:2" x14ac:dyDescent="0.25">
      <c r="A154" s="15" t="s">
        <v>1313</v>
      </c>
      <c r="B154" s="15">
        <v>152</v>
      </c>
    </row>
    <row r="155" spans="1:2" x14ac:dyDescent="0.25">
      <c r="A155" s="15" t="s">
        <v>1326</v>
      </c>
      <c r="B155" s="15">
        <v>153</v>
      </c>
    </row>
    <row r="156" spans="1:2" x14ac:dyDescent="0.25">
      <c r="A156" s="15" t="s">
        <v>1319</v>
      </c>
      <c r="B156" s="15">
        <v>154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7AA1-5EEC-4A35-995D-B5552DE2248E}">
  <dimension ref="A1:B56"/>
  <sheetViews>
    <sheetView topLeftCell="A26" workbookViewId="0">
      <selection activeCell="A55" sqref="A55"/>
    </sheetView>
  </sheetViews>
  <sheetFormatPr defaultRowHeight="15" x14ac:dyDescent="0.25"/>
  <cols>
    <col min="1" max="1" width="19.42578125" bestFit="1" customWidth="1"/>
  </cols>
  <sheetData>
    <row r="1" spans="1:2" x14ac:dyDescent="0.25">
      <c r="A1" s="1" t="s">
        <v>782</v>
      </c>
      <c r="B1" s="1" t="s">
        <v>41</v>
      </c>
    </row>
    <row r="2" spans="1:2" x14ac:dyDescent="0.25">
      <c r="A2" t="s">
        <v>1025</v>
      </c>
      <c r="B2">
        <v>0</v>
      </c>
    </row>
    <row r="3" spans="1:2" x14ac:dyDescent="0.25">
      <c r="A3" t="s">
        <v>1027</v>
      </c>
      <c r="B3">
        <v>1</v>
      </c>
    </row>
    <row r="4" spans="1:2" x14ac:dyDescent="0.25">
      <c r="A4" t="s">
        <v>1026</v>
      </c>
      <c r="B4">
        <v>2</v>
      </c>
    </row>
    <row r="5" spans="1:2" x14ac:dyDescent="0.25">
      <c r="A5" t="s">
        <v>920</v>
      </c>
      <c r="B5">
        <v>3</v>
      </c>
    </row>
    <row r="6" spans="1:2" x14ac:dyDescent="0.25">
      <c r="A6" t="s">
        <v>944</v>
      </c>
      <c r="B6">
        <v>4</v>
      </c>
    </row>
    <row r="7" spans="1:2" x14ac:dyDescent="0.25">
      <c r="A7" t="s">
        <v>945</v>
      </c>
      <c r="B7">
        <v>5</v>
      </c>
    </row>
    <row r="8" spans="1:2" x14ac:dyDescent="0.25">
      <c r="A8" t="s">
        <v>943</v>
      </c>
      <c r="B8">
        <v>6</v>
      </c>
    </row>
    <row r="9" spans="1:2" x14ac:dyDescent="0.25">
      <c r="A9" t="s">
        <v>946</v>
      </c>
      <c r="B9">
        <v>7</v>
      </c>
    </row>
    <row r="10" spans="1:2" x14ac:dyDescent="0.25">
      <c r="A10" t="s">
        <v>961</v>
      </c>
      <c r="B10">
        <v>8</v>
      </c>
    </row>
    <row r="11" spans="1:2" x14ac:dyDescent="0.25">
      <c r="A11" t="s">
        <v>962</v>
      </c>
      <c r="B11">
        <v>9</v>
      </c>
    </row>
    <row r="12" spans="1:2" x14ac:dyDescent="0.25">
      <c r="A12" t="s">
        <v>963</v>
      </c>
      <c r="B12">
        <v>10</v>
      </c>
    </row>
    <row r="13" spans="1:2" x14ac:dyDescent="0.25">
      <c r="A13" t="s">
        <v>964</v>
      </c>
      <c r="B13">
        <v>11</v>
      </c>
    </row>
    <row r="14" spans="1:2" x14ac:dyDescent="0.25">
      <c r="A14" t="s">
        <v>965</v>
      </c>
      <c r="B14">
        <v>12</v>
      </c>
    </row>
    <row r="15" spans="1:2" x14ac:dyDescent="0.25">
      <c r="A15" t="s">
        <v>957</v>
      </c>
      <c r="B15">
        <v>13</v>
      </c>
    </row>
    <row r="16" spans="1:2" x14ac:dyDescent="0.25">
      <c r="A16" t="s">
        <v>958</v>
      </c>
      <c r="B16">
        <v>14</v>
      </c>
    </row>
    <row r="17" spans="1:2" x14ac:dyDescent="0.25">
      <c r="A17" t="s">
        <v>1003</v>
      </c>
      <c r="B17">
        <v>15</v>
      </c>
    </row>
    <row r="18" spans="1:2" x14ac:dyDescent="0.25">
      <c r="A18" t="s">
        <v>975</v>
      </c>
      <c r="B18">
        <v>16</v>
      </c>
    </row>
    <row r="19" spans="1:2" x14ac:dyDescent="0.25">
      <c r="A19" t="s">
        <v>992</v>
      </c>
      <c r="B19">
        <v>17</v>
      </c>
    </row>
    <row r="20" spans="1:2" x14ac:dyDescent="0.25">
      <c r="A20" t="s">
        <v>997</v>
      </c>
      <c r="B20">
        <v>18</v>
      </c>
    </row>
    <row r="21" spans="1:2" x14ac:dyDescent="0.25">
      <c r="A21" t="s">
        <v>998</v>
      </c>
      <c r="B21">
        <v>19</v>
      </c>
    </row>
    <row r="22" spans="1:2" x14ac:dyDescent="0.25">
      <c r="A22" t="s">
        <v>999</v>
      </c>
      <c r="B22">
        <v>20</v>
      </c>
    </row>
    <row r="23" spans="1:2" x14ac:dyDescent="0.25">
      <c r="A23" t="s">
        <v>1028</v>
      </c>
      <c r="B23">
        <v>21</v>
      </c>
    </row>
    <row r="24" spans="1:2" x14ac:dyDescent="0.25">
      <c r="A24" s="8" t="s">
        <v>1029</v>
      </c>
      <c r="B24">
        <v>22</v>
      </c>
    </row>
    <row r="25" spans="1:2" x14ac:dyDescent="0.25">
      <c r="A25" s="8" t="s">
        <v>1030</v>
      </c>
      <c r="B25">
        <v>23</v>
      </c>
    </row>
    <row r="26" spans="1:2" x14ac:dyDescent="0.25">
      <c r="A26" t="s">
        <v>1031</v>
      </c>
      <c r="B26">
        <v>24</v>
      </c>
    </row>
    <row r="27" spans="1:2" x14ac:dyDescent="0.25">
      <c r="A27" t="s">
        <v>1032</v>
      </c>
      <c r="B27">
        <v>25</v>
      </c>
    </row>
    <row r="28" spans="1:2" x14ac:dyDescent="0.25">
      <c r="A28" t="s">
        <v>1033</v>
      </c>
      <c r="B28">
        <v>26</v>
      </c>
    </row>
    <row r="29" spans="1:2" x14ac:dyDescent="0.25">
      <c r="A29" t="s">
        <v>1034</v>
      </c>
      <c r="B29">
        <v>27</v>
      </c>
    </row>
    <row r="30" spans="1:2" x14ac:dyDescent="0.25">
      <c r="A30" t="s">
        <v>1035</v>
      </c>
      <c r="B30">
        <v>28</v>
      </c>
    </row>
    <row r="31" spans="1:2" x14ac:dyDescent="0.25">
      <c r="A31" t="s">
        <v>1068</v>
      </c>
      <c r="B31">
        <v>29</v>
      </c>
    </row>
    <row r="32" spans="1:2" x14ac:dyDescent="0.25">
      <c r="A32" t="s">
        <v>1132</v>
      </c>
      <c r="B32">
        <v>30</v>
      </c>
    </row>
    <row r="33" spans="1:2" x14ac:dyDescent="0.25">
      <c r="A33" t="s">
        <v>1133</v>
      </c>
      <c r="B33">
        <v>31</v>
      </c>
    </row>
    <row r="34" spans="1:2" x14ac:dyDescent="0.25">
      <c r="A34" t="s">
        <v>1097</v>
      </c>
      <c r="B34">
        <v>32</v>
      </c>
    </row>
    <row r="35" spans="1:2" x14ac:dyDescent="0.25">
      <c r="A35" t="s">
        <v>1098</v>
      </c>
      <c r="B35">
        <v>33</v>
      </c>
    </row>
    <row r="36" spans="1:2" x14ac:dyDescent="0.25">
      <c r="A36" t="s">
        <v>1152</v>
      </c>
      <c r="B36">
        <v>34</v>
      </c>
    </row>
    <row r="37" spans="1:2" x14ac:dyDescent="0.25">
      <c r="A37" t="s">
        <v>1153</v>
      </c>
      <c r="B37">
        <v>35</v>
      </c>
    </row>
    <row r="38" spans="1:2" x14ac:dyDescent="0.25">
      <c r="A38" t="s">
        <v>1180</v>
      </c>
      <c r="B38">
        <v>36</v>
      </c>
    </row>
    <row r="39" spans="1:2" x14ac:dyDescent="0.25">
      <c r="A39" t="s">
        <v>1181</v>
      </c>
      <c r="B39">
        <v>37</v>
      </c>
    </row>
    <row r="40" spans="1:2" x14ac:dyDescent="0.25">
      <c r="A40" t="s">
        <v>1182</v>
      </c>
      <c r="B40">
        <v>38</v>
      </c>
    </row>
    <row r="41" spans="1:2" x14ac:dyDescent="0.25">
      <c r="A41" t="s">
        <v>1183</v>
      </c>
      <c r="B41">
        <v>39</v>
      </c>
    </row>
    <row r="42" spans="1:2" x14ac:dyDescent="0.25">
      <c r="A42" t="s">
        <v>1184</v>
      </c>
      <c r="B42">
        <v>40</v>
      </c>
    </row>
    <row r="43" spans="1:2" x14ac:dyDescent="0.25">
      <c r="A43" t="s">
        <v>1185</v>
      </c>
      <c r="B43">
        <v>41</v>
      </c>
    </row>
    <row r="44" spans="1:2" x14ac:dyDescent="0.25">
      <c r="A44" t="s">
        <v>1186</v>
      </c>
      <c r="B44">
        <v>42</v>
      </c>
    </row>
    <row r="45" spans="1:2" x14ac:dyDescent="0.25">
      <c r="A45" t="s">
        <v>1199</v>
      </c>
      <c r="B45">
        <v>43</v>
      </c>
    </row>
    <row r="46" spans="1:2" x14ac:dyDescent="0.25">
      <c r="A46" t="s">
        <v>1204</v>
      </c>
      <c r="B46">
        <v>44</v>
      </c>
    </row>
    <row r="47" spans="1:2" x14ac:dyDescent="0.25">
      <c r="A47" t="s">
        <v>1219</v>
      </c>
      <c r="B47">
        <v>45</v>
      </c>
    </row>
    <row r="48" spans="1:2" x14ac:dyDescent="0.25">
      <c r="A48" t="s">
        <v>1220</v>
      </c>
      <c r="B48">
        <v>46</v>
      </c>
    </row>
    <row r="49" spans="1:2" x14ac:dyDescent="0.25">
      <c r="A49" t="s">
        <v>1212</v>
      </c>
      <c r="B49">
        <v>47</v>
      </c>
    </row>
    <row r="50" spans="1:2" x14ac:dyDescent="0.25">
      <c r="A50" t="s">
        <v>1213</v>
      </c>
      <c r="B50">
        <v>48</v>
      </c>
    </row>
    <row r="51" spans="1:2" x14ac:dyDescent="0.25">
      <c r="A51" t="s">
        <v>1214</v>
      </c>
      <c r="B51">
        <v>49</v>
      </c>
    </row>
    <row r="52" spans="1:2" x14ac:dyDescent="0.25">
      <c r="A52" t="s">
        <v>1226</v>
      </c>
      <c r="B52">
        <v>50</v>
      </c>
    </row>
    <row r="53" spans="1:2" x14ac:dyDescent="0.25">
      <c r="A53" t="s">
        <v>1227</v>
      </c>
      <c r="B53">
        <v>51</v>
      </c>
    </row>
    <row r="54" spans="1:2" x14ac:dyDescent="0.25">
      <c r="A54" s="15" t="s">
        <v>1309</v>
      </c>
      <c r="B54" s="15">
        <v>52</v>
      </c>
    </row>
    <row r="55" spans="1:2" x14ac:dyDescent="0.25">
      <c r="A55" s="15" t="s">
        <v>1310</v>
      </c>
      <c r="B55" s="15">
        <v>53</v>
      </c>
    </row>
    <row r="56" spans="1:2" x14ac:dyDescent="0.25">
      <c r="A56" s="15" t="s">
        <v>1311</v>
      </c>
      <c r="B56" s="15">
        <v>54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pane ySplit="1" topLeftCell="A2" activePane="bottomLeft" state="frozen"/>
      <selection pane="bottomLeft" activeCell="A21" sqref="A21"/>
    </sheetView>
  </sheetViews>
  <sheetFormatPr defaultRowHeight="15" x14ac:dyDescent="0.25"/>
  <cols>
    <col min="1" max="1" width="65.5703125" bestFit="1" customWidth="1"/>
    <col min="2" max="2" width="15.28515625" customWidth="1"/>
    <col min="3" max="3" width="12.42578125" customWidth="1"/>
  </cols>
  <sheetData>
    <row r="1" spans="1:3" s="1" customFormat="1" x14ac:dyDescent="0.25">
      <c r="A1" s="1" t="s">
        <v>77</v>
      </c>
      <c r="B1" s="1" t="s">
        <v>78</v>
      </c>
      <c r="C1" s="1" t="s">
        <v>1</v>
      </c>
    </row>
    <row r="2" spans="1:3" x14ac:dyDescent="0.25">
      <c r="A2" t="s">
        <v>79</v>
      </c>
      <c r="B2">
        <v>0</v>
      </c>
      <c r="C2">
        <f>2^B2</f>
        <v>1</v>
      </c>
    </row>
    <row r="3" spans="1:3" x14ac:dyDescent="0.25">
      <c r="A3" t="s">
        <v>80</v>
      </c>
      <c r="B3">
        <v>1</v>
      </c>
      <c r="C3">
        <f t="shared" ref="C3:C18" si="0">2^B3</f>
        <v>2</v>
      </c>
    </row>
    <row r="4" spans="1:3" x14ac:dyDescent="0.25">
      <c r="A4" t="s">
        <v>81</v>
      </c>
      <c r="B4">
        <v>3</v>
      </c>
      <c r="C4">
        <f t="shared" si="0"/>
        <v>8</v>
      </c>
    </row>
    <row r="5" spans="1:3" x14ac:dyDescent="0.25">
      <c r="A5" t="s">
        <v>82</v>
      </c>
      <c r="B5">
        <v>6</v>
      </c>
      <c r="C5">
        <f t="shared" si="0"/>
        <v>64</v>
      </c>
    </row>
    <row r="6" spans="1:3" x14ac:dyDescent="0.25">
      <c r="A6" t="s">
        <v>83</v>
      </c>
      <c r="B6">
        <v>9</v>
      </c>
      <c r="C6">
        <f t="shared" si="0"/>
        <v>512</v>
      </c>
    </row>
    <row r="7" spans="1:3" x14ac:dyDescent="0.25">
      <c r="A7" t="s">
        <v>876</v>
      </c>
      <c r="B7">
        <v>13</v>
      </c>
      <c r="C7">
        <f t="shared" si="0"/>
        <v>8192</v>
      </c>
    </row>
    <row r="8" spans="1:3" x14ac:dyDescent="0.25">
      <c r="A8" t="s">
        <v>84</v>
      </c>
      <c r="B8">
        <v>4</v>
      </c>
      <c r="C8">
        <f t="shared" si="0"/>
        <v>16</v>
      </c>
    </row>
    <row r="9" spans="1:3" x14ac:dyDescent="0.25">
      <c r="A9" t="s">
        <v>85</v>
      </c>
      <c r="B9">
        <v>7</v>
      </c>
      <c r="C9">
        <f t="shared" si="0"/>
        <v>128</v>
      </c>
    </row>
    <row r="10" spans="1:3" x14ac:dyDescent="0.25">
      <c r="A10" t="s">
        <v>86</v>
      </c>
      <c r="B10">
        <v>8</v>
      </c>
      <c r="C10">
        <f t="shared" si="0"/>
        <v>256</v>
      </c>
    </row>
    <row r="11" spans="1:3" x14ac:dyDescent="0.25">
      <c r="A11" t="s">
        <v>87</v>
      </c>
      <c r="B11">
        <v>11</v>
      </c>
      <c r="C11">
        <f t="shared" si="0"/>
        <v>2048</v>
      </c>
    </row>
    <row r="12" spans="1:3" x14ac:dyDescent="0.25">
      <c r="A12" t="s">
        <v>88</v>
      </c>
      <c r="B12">
        <v>12</v>
      </c>
      <c r="C12">
        <f t="shared" si="0"/>
        <v>4096</v>
      </c>
    </row>
    <row r="13" spans="1:3" x14ac:dyDescent="0.25">
      <c r="A13" t="s">
        <v>89</v>
      </c>
      <c r="B13">
        <v>0</v>
      </c>
      <c r="C13">
        <f t="shared" si="0"/>
        <v>1</v>
      </c>
    </row>
    <row r="14" spans="1:3" x14ac:dyDescent="0.25">
      <c r="A14" t="s">
        <v>90</v>
      </c>
      <c r="B14">
        <v>1</v>
      </c>
      <c r="C14">
        <f t="shared" si="0"/>
        <v>2</v>
      </c>
    </row>
    <row r="15" spans="1:3" x14ac:dyDescent="0.25">
      <c r="A15" t="s">
        <v>91</v>
      </c>
      <c r="B15">
        <v>2</v>
      </c>
      <c r="C15">
        <f t="shared" si="0"/>
        <v>4</v>
      </c>
    </row>
    <row r="16" spans="1:3" x14ac:dyDescent="0.25">
      <c r="A16" t="s">
        <v>92</v>
      </c>
      <c r="B16">
        <v>3</v>
      </c>
      <c r="C16">
        <f t="shared" si="0"/>
        <v>8</v>
      </c>
    </row>
    <row r="17" spans="1:3" x14ac:dyDescent="0.25">
      <c r="A17" t="s">
        <v>93</v>
      </c>
      <c r="B17">
        <v>4</v>
      </c>
      <c r="C17">
        <f t="shared" si="0"/>
        <v>16</v>
      </c>
    </row>
    <row r="18" spans="1:3" x14ac:dyDescent="0.25">
      <c r="A18" t="s">
        <v>94</v>
      </c>
      <c r="B18">
        <v>5</v>
      </c>
      <c r="C18">
        <f t="shared" si="0"/>
        <v>32</v>
      </c>
    </row>
    <row r="19" spans="1:3" x14ac:dyDescent="0.25">
      <c r="A19" t="s">
        <v>508</v>
      </c>
      <c r="C19">
        <f>_xlfn.BITOR(VLOOKUP("REGULATORY_CHAN_NO_OFDM",A:C,3,FALSE),VLOOKUP("REGULATORY_CHAN_NO_IR",A:C,3,FALSE))</f>
        <v>66</v>
      </c>
    </row>
    <row r="20" spans="1:3" x14ac:dyDescent="0.25">
      <c r="A20" t="s">
        <v>538</v>
      </c>
      <c r="C20">
        <f>_xlfn.BITOR(VLOOKUP("REGULATORY_CHAN_RADAR",A:C,3,FALSE),VLOOKUP("REGULATORY_CHAN_INDOOR_ONLY",A:C,3,FALSE))</f>
        <v>520</v>
      </c>
    </row>
    <row r="21" spans="1:3" x14ac:dyDescent="0.25">
      <c r="A21" t="s">
        <v>1203</v>
      </c>
      <c r="B21">
        <v>6</v>
      </c>
      <c r="C21">
        <v>64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20.85546875" customWidth="1"/>
  </cols>
  <sheetData>
    <row r="1" spans="1:2" s="1" customFormat="1" x14ac:dyDescent="0.25">
      <c r="A1" s="1" t="s">
        <v>95</v>
      </c>
      <c r="B1" s="1" t="s">
        <v>1</v>
      </c>
    </row>
    <row r="2" spans="1:2" x14ac:dyDescent="0.25">
      <c r="A2" t="s">
        <v>96</v>
      </c>
      <c r="B2">
        <v>0</v>
      </c>
    </row>
    <row r="3" spans="1:2" x14ac:dyDescent="0.25">
      <c r="A3" t="s">
        <v>97</v>
      </c>
      <c r="B3">
        <v>1</v>
      </c>
    </row>
    <row r="4" spans="1:2" x14ac:dyDescent="0.25">
      <c r="A4" t="s">
        <v>98</v>
      </c>
      <c r="B4">
        <v>2</v>
      </c>
    </row>
    <row r="5" spans="1:2" x14ac:dyDescent="0.25">
      <c r="A5" t="s">
        <v>99</v>
      </c>
      <c r="B5">
        <v>3</v>
      </c>
    </row>
    <row r="6" spans="1:2" x14ac:dyDescent="0.25">
      <c r="A6" t="s">
        <v>100</v>
      </c>
      <c r="B6">
        <v>4</v>
      </c>
    </row>
    <row r="7" spans="1:2" x14ac:dyDescent="0.25">
      <c r="A7" t="s">
        <v>101</v>
      </c>
      <c r="B7">
        <v>5</v>
      </c>
    </row>
    <row r="8" spans="1:2" x14ac:dyDescent="0.25">
      <c r="A8" t="s">
        <v>885</v>
      </c>
      <c r="B8">
        <v>6</v>
      </c>
    </row>
    <row r="9" spans="1:2" x14ac:dyDescent="0.25">
      <c r="A9" t="s">
        <v>102</v>
      </c>
      <c r="B9">
        <v>65535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selection activeCell="A4" sqref="A4"/>
    </sheetView>
  </sheetViews>
  <sheetFormatPr defaultRowHeight="15" x14ac:dyDescent="0.25"/>
  <cols>
    <col min="1" max="1" width="18.5703125" customWidth="1"/>
    <col min="3" max="3" width="19" customWidth="1"/>
  </cols>
  <sheetData>
    <row r="1" spans="1:3" x14ac:dyDescent="0.25">
      <c r="A1" t="s">
        <v>853</v>
      </c>
      <c r="B1" t="s">
        <v>1</v>
      </c>
      <c r="C1" t="s">
        <v>854</v>
      </c>
    </row>
    <row r="2" spans="1:3" x14ac:dyDescent="0.25">
      <c r="A2" s="2" t="s">
        <v>530</v>
      </c>
      <c r="B2" s="2" t="s">
        <v>393</v>
      </c>
      <c r="C2">
        <v>16</v>
      </c>
    </row>
    <row r="3" spans="1:3" x14ac:dyDescent="0.25">
      <c r="A3" s="2" t="s">
        <v>532</v>
      </c>
      <c r="B3" s="2" t="s">
        <v>855</v>
      </c>
      <c r="C3">
        <v>64</v>
      </c>
    </row>
    <row r="4" spans="1:3" x14ac:dyDescent="0.25">
      <c r="A4" s="2" t="s">
        <v>531</v>
      </c>
      <c r="B4" s="2" t="s">
        <v>414</v>
      </c>
      <c r="C4">
        <v>48</v>
      </c>
    </row>
    <row r="5" spans="1:3" x14ac:dyDescent="0.25">
      <c r="A5" s="2" t="s">
        <v>533</v>
      </c>
      <c r="B5" s="2" t="s">
        <v>856</v>
      </c>
      <c r="C5">
        <v>255</v>
      </c>
    </row>
    <row r="6" spans="1:3" x14ac:dyDescent="0.25">
      <c r="A6" s="2" t="s">
        <v>857</v>
      </c>
      <c r="B6" s="2" t="s">
        <v>858</v>
      </c>
      <c r="C6">
        <v>1</v>
      </c>
    </row>
    <row r="7" spans="1:3" x14ac:dyDescent="0.25">
      <c r="A7" s="2" t="s">
        <v>859</v>
      </c>
      <c r="B7" s="2" t="s">
        <v>860</v>
      </c>
      <c r="C7">
        <v>2</v>
      </c>
    </row>
    <row r="8" spans="1:3" x14ac:dyDescent="0.25">
      <c r="A8" s="2" t="s">
        <v>861</v>
      </c>
      <c r="B8" s="2" t="s">
        <v>431</v>
      </c>
      <c r="C8">
        <v>80</v>
      </c>
    </row>
    <row r="9" spans="1:3" x14ac:dyDescent="0.25">
      <c r="A9" s="2" t="s">
        <v>862</v>
      </c>
      <c r="B9" s="2" t="s">
        <v>483</v>
      </c>
      <c r="C9">
        <v>96</v>
      </c>
    </row>
    <row r="10" spans="1:3" x14ac:dyDescent="0.25">
      <c r="A10" t="s">
        <v>863</v>
      </c>
      <c r="B10" t="s">
        <v>460</v>
      </c>
      <c r="C10">
        <v>112</v>
      </c>
    </row>
    <row r="11" spans="1:3" x14ac:dyDescent="0.25">
      <c r="A11" s="2" t="s">
        <v>959</v>
      </c>
      <c r="B11" s="2" t="s">
        <v>960</v>
      </c>
      <c r="C11">
        <v>128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88"/>
  <sheetViews>
    <sheetView workbookViewId="0">
      <pane ySplit="1" topLeftCell="A172" activePane="bottomLeft" state="frozen"/>
      <selection pane="bottomLeft" activeCell="B188" sqref="B188"/>
    </sheetView>
  </sheetViews>
  <sheetFormatPr defaultRowHeight="15" x14ac:dyDescent="0.25"/>
  <cols>
    <col min="1" max="1" width="49" customWidth="1"/>
    <col min="2" max="2" width="17.7109375" customWidth="1"/>
  </cols>
  <sheetData>
    <row r="1" spans="1:2" s="1" customFormat="1" x14ac:dyDescent="0.25">
      <c r="A1" s="1" t="s">
        <v>789</v>
      </c>
      <c r="B1" s="1" t="s">
        <v>370</v>
      </c>
    </row>
    <row r="2" spans="1:2" x14ac:dyDescent="0.25">
      <c r="A2" t="s">
        <v>110</v>
      </c>
      <c r="B2">
        <v>4</v>
      </c>
    </row>
    <row r="3" spans="1:2" x14ac:dyDescent="0.25">
      <c r="A3" t="s">
        <v>797</v>
      </c>
      <c r="B3">
        <v>248</v>
      </c>
    </row>
    <row r="4" spans="1:2" x14ac:dyDescent="0.25">
      <c r="A4" t="s">
        <v>112</v>
      </c>
      <c r="B4">
        <v>8</v>
      </c>
    </row>
    <row r="5" spans="1:2" x14ac:dyDescent="0.25">
      <c r="A5" t="s">
        <v>113</v>
      </c>
      <c r="B5">
        <v>12</v>
      </c>
    </row>
    <row r="6" spans="1:2" x14ac:dyDescent="0.25">
      <c r="A6" t="s">
        <v>115</v>
      </c>
      <c r="B6">
        <v>16</v>
      </c>
    </row>
    <row r="7" spans="1:2" x14ac:dyDescent="0.25">
      <c r="A7" s="8" t="s">
        <v>798</v>
      </c>
      <c r="B7">
        <v>20</v>
      </c>
    </row>
    <row r="8" spans="1:2" x14ac:dyDescent="0.25">
      <c r="A8" s="17" t="s">
        <v>1248</v>
      </c>
      <c r="B8" s="15">
        <v>24</v>
      </c>
    </row>
    <row r="9" spans="1:2" x14ac:dyDescent="0.25">
      <c r="A9" t="s">
        <v>117</v>
      </c>
      <c r="B9">
        <v>660</v>
      </c>
    </row>
    <row r="10" spans="1:2" x14ac:dyDescent="0.25">
      <c r="A10" s="15" t="s">
        <v>1250</v>
      </c>
      <c r="B10" s="15">
        <v>10</v>
      </c>
    </row>
    <row r="11" spans="1:2" x14ac:dyDescent="0.25">
      <c r="A11" s="8" t="s">
        <v>799</v>
      </c>
      <c r="B11">
        <v>28</v>
      </c>
    </row>
    <row r="12" spans="1:2" x14ac:dyDescent="0.25">
      <c r="A12" t="s">
        <v>118</v>
      </c>
      <c r="B12">
        <v>32</v>
      </c>
    </row>
    <row r="13" spans="1:2" x14ac:dyDescent="0.25">
      <c r="A13" t="s">
        <v>120</v>
      </c>
      <c r="B13">
        <v>5003</v>
      </c>
    </row>
    <row r="14" spans="1:2" x14ac:dyDescent="0.25">
      <c r="A14" t="s">
        <v>122</v>
      </c>
      <c r="B14">
        <v>51</v>
      </c>
    </row>
    <row r="15" spans="1:2" x14ac:dyDescent="0.25">
      <c r="A15" t="s">
        <v>124</v>
      </c>
      <c r="B15">
        <v>533</v>
      </c>
    </row>
    <row r="16" spans="1:2" x14ac:dyDescent="0.25">
      <c r="A16" t="s">
        <v>125</v>
      </c>
      <c r="B16">
        <v>36</v>
      </c>
    </row>
    <row r="17" spans="1:2" x14ac:dyDescent="0.25">
      <c r="A17" t="s">
        <v>126</v>
      </c>
      <c r="B17">
        <v>5000</v>
      </c>
    </row>
    <row r="18" spans="1:2" x14ac:dyDescent="0.25">
      <c r="A18" t="s">
        <v>128</v>
      </c>
      <c r="B18">
        <v>40</v>
      </c>
    </row>
    <row r="19" spans="1:2" x14ac:dyDescent="0.25">
      <c r="A19" t="s">
        <v>129</v>
      </c>
      <c r="B19">
        <v>31</v>
      </c>
    </row>
    <row r="20" spans="1:2" x14ac:dyDescent="0.25">
      <c r="A20" t="s">
        <v>130</v>
      </c>
      <c r="B20">
        <v>44</v>
      </c>
    </row>
    <row r="21" spans="1:2" x14ac:dyDescent="0.25">
      <c r="A21" t="s">
        <v>131</v>
      </c>
      <c r="B21">
        <v>48</v>
      </c>
    </row>
    <row r="22" spans="1:2" x14ac:dyDescent="0.25">
      <c r="A22" t="s">
        <v>133</v>
      </c>
      <c r="B22">
        <v>50</v>
      </c>
    </row>
    <row r="23" spans="1:2" x14ac:dyDescent="0.25">
      <c r="A23" t="s">
        <v>135</v>
      </c>
      <c r="B23">
        <v>52</v>
      </c>
    </row>
    <row r="24" spans="1:2" x14ac:dyDescent="0.25">
      <c r="A24" t="s">
        <v>137</v>
      </c>
      <c r="B24">
        <v>112</v>
      </c>
    </row>
    <row r="25" spans="1:2" x14ac:dyDescent="0.25">
      <c r="A25" t="s">
        <v>138</v>
      </c>
      <c r="B25">
        <v>56</v>
      </c>
    </row>
    <row r="26" spans="1:2" x14ac:dyDescent="0.25">
      <c r="A26" t="s">
        <v>139</v>
      </c>
      <c r="B26">
        <v>4101</v>
      </c>
    </row>
    <row r="27" spans="1:2" x14ac:dyDescent="0.25">
      <c r="A27" t="s">
        <v>140</v>
      </c>
      <c r="B27">
        <v>84</v>
      </c>
    </row>
    <row r="28" spans="1:2" x14ac:dyDescent="0.25">
      <c r="A28" s="15" t="s">
        <v>1252</v>
      </c>
      <c r="B28" s="15">
        <v>204</v>
      </c>
    </row>
    <row r="29" spans="1:2" x14ac:dyDescent="0.25">
      <c r="A29" t="s">
        <v>142</v>
      </c>
      <c r="B29">
        <v>60</v>
      </c>
    </row>
    <row r="30" spans="1:2" x14ac:dyDescent="0.25">
      <c r="A30" t="s">
        <v>143</v>
      </c>
      <c r="B30">
        <v>64</v>
      </c>
    </row>
    <row r="31" spans="1:2" x14ac:dyDescent="0.25">
      <c r="A31" t="s">
        <v>144</v>
      </c>
      <c r="B31">
        <v>68</v>
      </c>
    </row>
    <row r="32" spans="1:2" x14ac:dyDescent="0.25">
      <c r="A32" s="15" t="s">
        <v>1254</v>
      </c>
      <c r="B32" s="15">
        <v>535</v>
      </c>
    </row>
    <row r="33" spans="1:2" x14ac:dyDescent="0.25">
      <c r="A33" t="s">
        <v>146</v>
      </c>
      <c r="B33">
        <v>70</v>
      </c>
    </row>
    <row r="34" spans="1:2" x14ac:dyDescent="0.25">
      <c r="A34" t="s">
        <v>1113</v>
      </c>
      <c r="B34">
        <v>72</v>
      </c>
    </row>
    <row r="35" spans="1:2" x14ac:dyDescent="0.25">
      <c r="A35" t="s">
        <v>1256</v>
      </c>
      <c r="B35">
        <v>74</v>
      </c>
    </row>
    <row r="36" spans="1:2" x14ac:dyDescent="0.25">
      <c r="A36" t="s">
        <v>147</v>
      </c>
      <c r="B36">
        <v>76</v>
      </c>
    </row>
    <row r="37" spans="1:2" x14ac:dyDescent="0.25">
      <c r="A37" s="15" t="s">
        <v>1258</v>
      </c>
      <c r="B37" s="15">
        <v>86</v>
      </c>
    </row>
    <row r="38" spans="1:2" x14ac:dyDescent="0.25">
      <c r="A38" t="s">
        <v>148</v>
      </c>
      <c r="B38">
        <v>96</v>
      </c>
    </row>
    <row r="39" spans="1:2" x14ac:dyDescent="0.25">
      <c r="A39" t="s">
        <v>150</v>
      </c>
      <c r="B39">
        <v>100</v>
      </c>
    </row>
    <row r="40" spans="1:2" x14ac:dyDescent="0.25">
      <c r="A40" t="s">
        <v>151</v>
      </c>
      <c r="B40">
        <v>854</v>
      </c>
    </row>
    <row r="41" spans="1:2" x14ac:dyDescent="0.25">
      <c r="A41" t="s">
        <v>1115</v>
      </c>
      <c r="B41">
        <v>108</v>
      </c>
    </row>
    <row r="42" spans="1:2" x14ac:dyDescent="0.25">
      <c r="A42" s="15" t="s">
        <v>1260</v>
      </c>
      <c r="B42" s="15">
        <v>132</v>
      </c>
    </row>
    <row r="43" spans="1:2" x14ac:dyDescent="0.25">
      <c r="A43" t="s">
        <v>152</v>
      </c>
      <c r="B43">
        <v>116</v>
      </c>
    </row>
    <row r="44" spans="1:2" x14ac:dyDescent="0.25">
      <c r="A44" s="8" t="s">
        <v>800</v>
      </c>
      <c r="B44">
        <v>120</v>
      </c>
    </row>
    <row r="45" spans="1:2" x14ac:dyDescent="0.25">
      <c r="A45" t="s">
        <v>153</v>
      </c>
      <c r="B45">
        <v>124</v>
      </c>
    </row>
    <row r="46" spans="1:2" x14ac:dyDescent="0.25">
      <c r="A46" t="s">
        <v>154</v>
      </c>
      <c r="B46">
        <v>5001</v>
      </c>
    </row>
    <row r="47" spans="1:2" x14ac:dyDescent="0.25">
      <c r="A47" t="s">
        <v>156</v>
      </c>
      <c r="B47">
        <v>136</v>
      </c>
    </row>
    <row r="48" spans="1:2" x14ac:dyDescent="0.25">
      <c r="A48" t="s">
        <v>157</v>
      </c>
      <c r="B48">
        <v>140</v>
      </c>
    </row>
    <row r="49" spans="1:2" x14ac:dyDescent="0.25">
      <c r="A49" t="s">
        <v>158</v>
      </c>
      <c r="B49">
        <v>148</v>
      </c>
    </row>
    <row r="50" spans="1:2" x14ac:dyDescent="0.25">
      <c r="A50" t="s">
        <v>159</v>
      </c>
      <c r="B50">
        <v>152</v>
      </c>
    </row>
    <row r="51" spans="1:2" x14ac:dyDescent="0.25">
      <c r="A51" t="s">
        <v>160</v>
      </c>
      <c r="B51">
        <v>156</v>
      </c>
    </row>
    <row r="52" spans="1:2" x14ac:dyDescent="0.25">
      <c r="A52" t="s">
        <v>162</v>
      </c>
      <c r="B52">
        <v>162</v>
      </c>
    </row>
    <row r="53" spans="1:2" x14ac:dyDescent="0.25">
      <c r="A53" s="15" t="s">
        <v>1262</v>
      </c>
      <c r="B53" s="15">
        <v>166</v>
      </c>
    </row>
    <row r="54" spans="1:2" x14ac:dyDescent="0.25">
      <c r="A54" t="s">
        <v>163</v>
      </c>
      <c r="B54">
        <v>170</v>
      </c>
    </row>
    <row r="55" spans="1:2" x14ac:dyDescent="0.25">
      <c r="A55" s="15" t="s">
        <v>1264</v>
      </c>
      <c r="B55" s="15">
        <v>174</v>
      </c>
    </row>
    <row r="56" spans="1:2" x14ac:dyDescent="0.25">
      <c r="A56" t="s">
        <v>986</v>
      </c>
      <c r="B56">
        <v>178</v>
      </c>
    </row>
    <row r="57" spans="1:2" x14ac:dyDescent="0.25">
      <c r="A57" t="s">
        <v>987</v>
      </c>
      <c r="B57">
        <v>180</v>
      </c>
    </row>
    <row r="58" spans="1:2" x14ac:dyDescent="0.25">
      <c r="A58" s="8" t="s">
        <v>801</v>
      </c>
      <c r="B58">
        <v>184</v>
      </c>
    </row>
    <row r="59" spans="1:2" x14ac:dyDescent="0.25">
      <c r="A59" t="s">
        <v>164</v>
      </c>
      <c r="B59">
        <v>188</v>
      </c>
    </row>
    <row r="60" spans="1:2" x14ac:dyDescent="0.25">
      <c r="A60" t="s">
        <v>165</v>
      </c>
      <c r="B60">
        <v>384</v>
      </c>
    </row>
    <row r="61" spans="1:2" x14ac:dyDescent="0.25">
      <c r="A61" t="s">
        <v>166</v>
      </c>
      <c r="B61">
        <v>191</v>
      </c>
    </row>
    <row r="62" spans="1:2" x14ac:dyDescent="0.25">
      <c r="A62" s="7" t="s">
        <v>898</v>
      </c>
      <c r="B62">
        <v>531</v>
      </c>
    </row>
    <row r="63" spans="1:2" x14ac:dyDescent="0.25">
      <c r="A63" t="s">
        <v>167</v>
      </c>
      <c r="B63">
        <v>196</v>
      </c>
    </row>
    <row r="64" spans="1:2" x14ac:dyDescent="0.25">
      <c r="A64" t="s">
        <v>168</v>
      </c>
      <c r="B64">
        <v>203</v>
      </c>
    </row>
    <row r="65" spans="1:2" x14ac:dyDescent="0.25">
      <c r="A65" t="s">
        <v>169</v>
      </c>
      <c r="B65">
        <v>208</v>
      </c>
    </row>
    <row r="66" spans="1:2" x14ac:dyDescent="0.25">
      <c r="A66" s="15" t="s">
        <v>1266</v>
      </c>
      <c r="B66" s="15">
        <v>262</v>
      </c>
    </row>
    <row r="67" spans="1:2" x14ac:dyDescent="0.25">
      <c r="A67" t="s">
        <v>170</v>
      </c>
      <c r="B67">
        <v>212</v>
      </c>
    </row>
    <row r="68" spans="1:2" x14ac:dyDescent="0.25">
      <c r="A68" t="s">
        <v>172</v>
      </c>
      <c r="B68">
        <v>214</v>
      </c>
    </row>
    <row r="69" spans="1:2" x14ac:dyDescent="0.25">
      <c r="A69" t="s">
        <v>173</v>
      </c>
      <c r="B69">
        <v>218</v>
      </c>
    </row>
    <row r="70" spans="1:2" x14ac:dyDescent="0.25">
      <c r="A70" t="s">
        <v>174</v>
      </c>
      <c r="B70">
        <v>818</v>
      </c>
    </row>
    <row r="71" spans="1:2" x14ac:dyDescent="0.25">
      <c r="A71" t="s">
        <v>176</v>
      </c>
      <c r="B71">
        <v>222</v>
      </c>
    </row>
    <row r="72" spans="1:2" x14ac:dyDescent="0.25">
      <c r="A72" s="15" t="s">
        <v>1268</v>
      </c>
      <c r="B72" s="15">
        <v>226</v>
      </c>
    </row>
    <row r="73" spans="1:2" x14ac:dyDescent="0.25">
      <c r="A73" s="15" t="s">
        <v>1270</v>
      </c>
      <c r="B73" s="15">
        <v>232</v>
      </c>
    </row>
    <row r="74" spans="1:2" x14ac:dyDescent="0.25">
      <c r="A74" t="s">
        <v>178</v>
      </c>
      <c r="B74">
        <v>233</v>
      </c>
    </row>
    <row r="75" spans="1:2" x14ac:dyDescent="0.25">
      <c r="A75" s="15" t="s">
        <v>1272</v>
      </c>
      <c r="B75" s="15">
        <v>748</v>
      </c>
    </row>
    <row r="76" spans="1:2" x14ac:dyDescent="0.25">
      <c r="A76" t="s">
        <v>179</v>
      </c>
      <c r="B76">
        <v>231</v>
      </c>
    </row>
    <row r="77" spans="1:2" x14ac:dyDescent="0.25">
      <c r="A77" s="8" t="s">
        <v>802</v>
      </c>
      <c r="B77">
        <v>238</v>
      </c>
    </row>
    <row r="78" spans="1:2" x14ac:dyDescent="0.25">
      <c r="A78" t="s">
        <v>803</v>
      </c>
      <c r="B78">
        <v>234</v>
      </c>
    </row>
    <row r="79" spans="1:2" x14ac:dyDescent="0.25">
      <c r="A79" t="s">
        <v>180</v>
      </c>
      <c r="B79">
        <v>246</v>
      </c>
    </row>
    <row r="80" spans="1:2" x14ac:dyDescent="0.25">
      <c r="A80" t="s">
        <v>1117</v>
      </c>
      <c r="B80">
        <v>242</v>
      </c>
    </row>
    <row r="81" spans="1:2" x14ac:dyDescent="0.25">
      <c r="A81" t="s">
        <v>181</v>
      </c>
      <c r="B81">
        <v>250</v>
      </c>
    </row>
    <row r="82" spans="1:2" x14ac:dyDescent="0.25">
      <c r="A82" t="s">
        <v>182</v>
      </c>
      <c r="B82">
        <v>254</v>
      </c>
    </row>
    <row r="83" spans="1:2" x14ac:dyDescent="0.25">
      <c r="A83" t="s">
        <v>183</v>
      </c>
      <c r="B83">
        <v>258</v>
      </c>
    </row>
    <row r="84" spans="1:2" x14ac:dyDescent="0.25">
      <c r="A84" s="8" t="s">
        <v>804</v>
      </c>
      <c r="B84">
        <v>260</v>
      </c>
    </row>
    <row r="85" spans="1:2" x14ac:dyDescent="0.25">
      <c r="A85" t="s">
        <v>371</v>
      </c>
      <c r="B85">
        <v>255</v>
      </c>
    </row>
    <row r="86" spans="1:2" x14ac:dyDescent="0.25">
      <c r="A86" t="s">
        <v>1119</v>
      </c>
      <c r="B86">
        <v>266</v>
      </c>
    </row>
    <row r="87" spans="1:2" x14ac:dyDescent="0.25">
      <c r="A87" t="s">
        <v>1275</v>
      </c>
      <c r="B87">
        <v>270</v>
      </c>
    </row>
    <row r="88" spans="1:2" x14ac:dyDescent="0.25">
      <c r="A88" t="s">
        <v>184</v>
      </c>
      <c r="B88">
        <v>268</v>
      </c>
    </row>
    <row r="89" spans="1:2" x14ac:dyDescent="0.25">
      <c r="A89" t="s">
        <v>185</v>
      </c>
      <c r="B89">
        <v>276</v>
      </c>
    </row>
    <row r="90" spans="1:2" x14ac:dyDescent="0.25">
      <c r="A90" t="s">
        <v>186</v>
      </c>
      <c r="B90">
        <v>288</v>
      </c>
    </row>
    <row r="91" spans="1:2" x14ac:dyDescent="0.25">
      <c r="A91" t="s">
        <v>539</v>
      </c>
      <c r="B91">
        <v>292</v>
      </c>
    </row>
    <row r="92" spans="1:2" x14ac:dyDescent="0.25">
      <c r="A92" t="s">
        <v>187</v>
      </c>
      <c r="B92">
        <v>300</v>
      </c>
    </row>
    <row r="93" spans="1:2" x14ac:dyDescent="0.25">
      <c r="A93" t="s">
        <v>188</v>
      </c>
      <c r="B93">
        <v>304</v>
      </c>
    </row>
    <row r="94" spans="1:2" x14ac:dyDescent="0.25">
      <c r="A94" t="s">
        <v>189</v>
      </c>
      <c r="B94">
        <v>308</v>
      </c>
    </row>
    <row r="95" spans="1:2" x14ac:dyDescent="0.25">
      <c r="A95" t="s">
        <v>190</v>
      </c>
      <c r="B95">
        <v>312</v>
      </c>
    </row>
    <row r="96" spans="1:2" x14ac:dyDescent="0.25">
      <c r="A96" t="s">
        <v>191</v>
      </c>
      <c r="B96">
        <v>316</v>
      </c>
    </row>
    <row r="97" spans="1:2" x14ac:dyDescent="0.25">
      <c r="A97" t="s">
        <v>192</v>
      </c>
      <c r="B97">
        <v>320</v>
      </c>
    </row>
    <row r="98" spans="1:2" x14ac:dyDescent="0.25">
      <c r="A98" s="8" t="s">
        <v>805</v>
      </c>
      <c r="B98">
        <v>831</v>
      </c>
    </row>
    <row r="99" spans="1:2" x14ac:dyDescent="0.25">
      <c r="A99" s="15" t="s">
        <v>1277</v>
      </c>
      <c r="B99" s="15">
        <v>324</v>
      </c>
    </row>
    <row r="100" spans="1:2" x14ac:dyDescent="0.25">
      <c r="A100" s="15" t="s">
        <v>1279</v>
      </c>
      <c r="B100" s="15">
        <v>624</v>
      </c>
    </row>
    <row r="101" spans="1:2" x14ac:dyDescent="0.25">
      <c r="A101" t="s">
        <v>193</v>
      </c>
      <c r="B101">
        <v>328</v>
      </c>
    </row>
    <row r="102" spans="1:2" x14ac:dyDescent="0.25">
      <c r="A102" t="s">
        <v>195</v>
      </c>
      <c r="B102">
        <v>332</v>
      </c>
    </row>
    <row r="103" spans="1:2" x14ac:dyDescent="0.25">
      <c r="A103" s="8" t="s">
        <v>806</v>
      </c>
      <c r="B103">
        <v>334</v>
      </c>
    </row>
    <row r="104" spans="1:2" x14ac:dyDescent="0.25">
      <c r="A104" s="8" t="s">
        <v>807</v>
      </c>
      <c r="B104">
        <v>336</v>
      </c>
    </row>
    <row r="105" spans="1:2" x14ac:dyDescent="0.25">
      <c r="A105" t="s">
        <v>196</v>
      </c>
      <c r="B105">
        <v>340</v>
      </c>
    </row>
    <row r="106" spans="1:2" x14ac:dyDescent="0.25">
      <c r="A106" t="s">
        <v>197</v>
      </c>
      <c r="B106">
        <v>344</v>
      </c>
    </row>
    <row r="107" spans="1:2" x14ac:dyDescent="0.25">
      <c r="A107" t="s">
        <v>198</v>
      </c>
      <c r="B107">
        <v>348</v>
      </c>
    </row>
    <row r="108" spans="1:2" x14ac:dyDescent="0.25">
      <c r="A108" t="s">
        <v>199</v>
      </c>
      <c r="B108">
        <v>352</v>
      </c>
    </row>
    <row r="109" spans="1:2" x14ac:dyDescent="0.25">
      <c r="A109" t="s">
        <v>200</v>
      </c>
      <c r="B109">
        <v>356</v>
      </c>
    </row>
    <row r="110" spans="1:2" x14ac:dyDescent="0.25">
      <c r="A110" t="s">
        <v>540</v>
      </c>
      <c r="B110">
        <v>5006</v>
      </c>
    </row>
    <row r="111" spans="1:2" x14ac:dyDescent="0.25">
      <c r="A111" t="s">
        <v>201</v>
      </c>
      <c r="B111">
        <v>360</v>
      </c>
    </row>
    <row r="112" spans="1:2" x14ac:dyDescent="0.25">
      <c r="A112" t="s">
        <v>372</v>
      </c>
      <c r="B112">
        <v>368</v>
      </c>
    </row>
    <row r="113" spans="1:2" x14ac:dyDescent="0.25">
      <c r="A113" t="s">
        <v>203</v>
      </c>
      <c r="B113">
        <v>372</v>
      </c>
    </row>
    <row r="114" spans="1:2" x14ac:dyDescent="0.25">
      <c r="A114" s="8" t="s">
        <v>808</v>
      </c>
      <c r="B114">
        <v>833</v>
      </c>
    </row>
    <row r="115" spans="1:2" x14ac:dyDescent="0.25">
      <c r="A115" t="s">
        <v>204</v>
      </c>
      <c r="B115">
        <v>376</v>
      </c>
    </row>
    <row r="116" spans="1:2" x14ac:dyDescent="0.25">
      <c r="A116" t="s">
        <v>205</v>
      </c>
      <c r="B116">
        <v>380</v>
      </c>
    </row>
    <row r="117" spans="1:2" x14ac:dyDescent="0.25">
      <c r="A117" t="s">
        <v>206</v>
      </c>
      <c r="B117">
        <v>388</v>
      </c>
    </row>
    <row r="118" spans="1:2" x14ac:dyDescent="0.25">
      <c r="A118" t="s">
        <v>373</v>
      </c>
      <c r="B118">
        <v>392</v>
      </c>
    </row>
    <row r="119" spans="1:2" x14ac:dyDescent="0.25">
      <c r="A119" t="s">
        <v>374</v>
      </c>
      <c r="B119">
        <v>393</v>
      </c>
    </row>
    <row r="120" spans="1:2" x14ac:dyDescent="0.25">
      <c r="A120" t="s">
        <v>375</v>
      </c>
      <c r="B120">
        <v>394</v>
      </c>
    </row>
    <row r="121" spans="1:2" x14ac:dyDescent="0.25">
      <c r="A121" t="s">
        <v>376</v>
      </c>
      <c r="B121">
        <v>395</v>
      </c>
    </row>
    <row r="122" spans="1:2" x14ac:dyDescent="0.25">
      <c r="A122" t="s">
        <v>377</v>
      </c>
      <c r="B122">
        <v>396</v>
      </c>
    </row>
    <row r="123" spans="1:2" x14ac:dyDescent="0.25">
      <c r="A123" t="s">
        <v>378</v>
      </c>
      <c r="B123">
        <v>397</v>
      </c>
    </row>
    <row r="124" spans="1:2" x14ac:dyDescent="0.25">
      <c r="A124" t="s">
        <v>379</v>
      </c>
      <c r="B124">
        <v>399</v>
      </c>
    </row>
    <row r="125" spans="1:2" x14ac:dyDescent="0.25">
      <c r="A125" t="s">
        <v>316</v>
      </c>
      <c r="B125">
        <v>4007</v>
      </c>
    </row>
    <row r="126" spans="1:2" x14ac:dyDescent="0.25">
      <c r="A126" t="s">
        <v>318</v>
      </c>
      <c r="B126">
        <v>4008</v>
      </c>
    </row>
    <row r="127" spans="1:2" x14ac:dyDescent="0.25">
      <c r="A127" t="s">
        <v>320</v>
      </c>
      <c r="B127">
        <v>4009</v>
      </c>
    </row>
    <row r="128" spans="1:2" x14ac:dyDescent="0.25">
      <c r="A128" t="s">
        <v>322</v>
      </c>
      <c r="B128">
        <v>4010</v>
      </c>
    </row>
    <row r="129" spans="1:2" x14ac:dyDescent="0.25">
      <c r="A129" t="s">
        <v>324</v>
      </c>
      <c r="B129">
        <v>4011</v>
      </c>
    </row>
    <row r="130" spans="1:2" x14ac:dyDescent="0.25">
      <c r="A130" t="s">
        <v>326</v>
      </c>
      <c r="B130">
        <v>4012</v>
      </c>
    </row>
    <row r="131" spans="1:2" x14ac:dyDescent="0.25">
      <c r="A131" t="s">
        <v>328</v>
      </c>
      <c r="B131">
        <v>4013</v>
      </c>
    </row>
    <row r="132" spans="1:2" x14ac:dyDescent="0.25">
      <c r="A132" t="s">
        <v>330</v>
      </c>
      <c r="B132">
        <v>4014</v>
      </c>
    </row>
    <row r="133" spans="1:2" x14ac:dyDescent="0.25">
      <c r="A133" t="s">
        <v>332</v>
      </c>
      <c r="B133">
        <v>4015</v>
      </c>
    </row>
    <row r="134" spans="1:2" x14ac:dyDescent="0.25">
      <c r="A134" t="s">
        <v>334</v>
      </c>
      <c r="B134">
        <v>4025</v>
      </c>
    </row>
    <row r="135" spans="1:2" x14ac:dyDescent="0.25">
      <c r="A135" t="s">
        <v>335</v>
      </c>
      <c r="B135">
        <v>4026</v>
      </c>
    </row>
    <row r="136" spans="1:2" x14ac:dyDescent="0.25">
      <c r="A136" t="s">
        <v>336</v>
      </c>
      <c r="B136">
        <v>4027</v>
      </c>
    </row>
    <row r="137" spans="1:2" x14ac:dyDescent="0.25">
      <c r="A137" t="s">
        <v>338</v>
      </c>
      <c r="B137">
        <v>4028</v>
      </c>
    </row>
    <row r="138" spans="1:2" x14ac:dyDescent="0.25">
      <c r="A138" t="s">
        <v>339</v>
      </c>
      <c r="B138">
        <v>4029</v>
      </c>
    </row>
    <row r="139" spans="1:2" x14ac:dyDescent="0.25">
      <c r="A139" t="s">
        <v>341</v>
      </c>
      <c r="B139">
        <v>4034</v>
      </c>
    </row>
    <row r="140" spans="1:2" x14ac:dyDescent="0.25">
      <c r="A140" t="s">
        <v>343</v>
      </c>
      <c r="B140">
        <v>4035</v>
      </c>
    </row>
    <row r="141" spans="1:2" x14ac:dyDescent="0.25">
      <c r="A141" t="s">
        <v>345</v>
      </c>
      <c r="B141">
        <v>4036</v>
      </c>
    </row>
    <row r="142" spans="1:2" x14ac:dyDescent="0.25">
      <c r="A142" t="s">
        <v>346</v>
      </c>
      <c r="B142">
        <v>4037</v>
      </c>
    </row>
    <row r="143" spans="1:2" x14ac:dyDescent="0.25">
      <c r="A143" t="s">
        <v>348</v>
      </c>
      <c r="B143">
        <v>4038</v>
      </c>
    </row>
    <row r="144" spans="1:2" x14ac:dyDescent="0.25">
      <c r="A144" t="s">
        <v>349</v>
      </c>
      <c r="B144">
        <v>4039</v>
      </c>
    </row>
    <row r="145" spans="1:2" x14ac:dyDescent="0.25">
      <c r="A145" t="s">
        <v>351</v>
      </c>
      <c r="B145">
        <v>4040</v>
      </c>
    </row>
    <row r="146" spans="1:2" x14ac:dyDescent="0.25">
      <c r="A146" t="s">
        <v>352</v>
      </c>
      <c r="B146">
        <v>4041</v>
      </c>
    </row>
    <row r="147" spans="1:2" x14ac:dyDescent="0.25">
      <c r="A147" t="s">
        <v>354</v>
      </c>
      <c r="B147">
        <v>4042</v>
      </c>
    </row>
    <row r="148" spans="1:2" x14ac:dyDescent="0.25">
      <c r="A148" t="s">
        <v>355</v>
      </c>
      <c r="B148">
        <v>4043</v>
      </c>
    </row>
    <row r="149" spans="1:2" x14ac:dyDescent="0.25">
      <c r="A149" t="s">
        <v>357</v>
      </c>
      <c r="B149">
        <v>4044</v>
      </c>
    </row>
    <row r="150" spans="1:2" x14ac:dyDescent="0.25">
      <c r="A150" t="s">
        <v>358</v>
      </c>
      <c r="B150">
        <v>4045</v>
      </c>
    </row>
    <row r="151" spans="1:2" x14ac:dyDescent="0.25">
      <c r="A151" t="s">
        <v>360</v>
      </c>
      <c r="B151">
        <v>4046</v>
      </c>
    </row>
    <row r="152" spans="1:2" x14ac:dyDescent="0.25">
      <c r="A152" t="s">
        <v>362</v>
      </c>
      <c r="B152">
        <v>4047</v>
      </c>
    </row>
    <row r="153" spans="1:2" x14ac:dyDescent="0.25">
      <c r="A153" t="s">
        <v>363</v>
      </c>
      <c r="B153">
        <v>4048</v>
      </c>
    </row>
    <row r="154" spans="1:2" x14ac:dyDescent="0.25">
      <c r="A154" t="s">
        <v>365</v>
      </c>
      <c r="B154">
        <v>4049</v>
      </c>
    </row>
    <row r="155" spans="1:2" x14ac:dyDescent="0.25">
      <c r="A155" t="s">
        <v>366</v>
      </c>
      <c r="B155">
        <v>4055</v>
      </c>
    </row>
    <row r="156" spans="1:2" x14ac:dyDescent="0.25">
      <c r="A156" t="s">
        <v>367</v>
      </c>
      <c r="B156">
        <v>4056</v>
      </c>
    </row>
    <row r="157" spans="1:2" x14ac:dyDescent="0.25">
      <c r="A157" t="s">
        <v>543</v>
      </c>
      <c r="B157">
        <v>4060</v>
      </c>
    </row>
    <row r="158" spans="1:2" x14ac:dyDescent="0.25">
      <c r="A158" s="8" t="s">
        <v>809</v>
      </c>
      <c r="B158">
        <v>832</v>
      </c>
    </row>
    <row r="159" spans="1:2" x14ac:dyDescent="0.25">
      <c r="A159" t="s">
        <v>207</v>
      </c>
      <c r="B159">
        <v>400</v>
      </c>
    </row>
    <row r="160" spans="1:2" x14ac:dyDescent="0.25">
      <c r="A160" t="s">
        <v>209</v>
      </c>
      <c r="B160">
        <v>398</v>
      </c>
    </row>
    <row r="161" spans="1:2" x14ac:dyDescent="0.25">
      <c r="A161" t="s">
        <v>211</v>
      </c>
      <c r="B161">
        <v>404</v>
      </c>
    </row>
    <row r="162" spans="1:2" x14ac:dyDescent="0.25">
      <c r="A162" t="s">
        <v>213</v>
      </c>
      <c r="B162">
        <v>410</v>
      </c>
    </row>
    <row r="163" spans="1:2" x14ac:dyDescent="0.25">
      <c r="A163" t="s">
        <v>380</v>
      </c>
      <c r="B163">
        <v>411</v>
      </c>
    </row>
    <row r="164" spans="1:2" x14ac:dyDescent="0.25">
      <c r="A164" t="s">
        <v>381</v>
      </c>
      <c r="B164">
        <v>412</v>
      </c>
    </row>
    <row r="165" spans="1:2" x14ac:dyDescent="0.25">
      <c r="A165" t="s">
        <v>215</v>
      </c>
      <c r="B165">
        <v>414</v>
      </c>
    </row>
    <row r="166" spans="1:2" x14ac:dyDescent="0.25">
      <c r="A166" t="s">
        <v>1121</v>
      </c>
      <c r="B166">
        <v>418</v>
      </c>
    </row>
    <row r="167" spans="1:2" x14ac:dyDescent="0.25">
      <c r="A167" t="s">
        <v>216</v>
      </c>
      <c r="B167">
        <v>428</v>
      </c>
    </row>
    <row r="168" spans="1:2" x14ac:dyDescent="0.25">
      <c r="A168" t="s">
        <v>217</v>
      </c>
      <c r="B168">
        <v>422</v>
      </c>
    </row>
    <row r="169" spans="1:2" x14ac:dyDescent="0.25">
      <c r="A169" t="s">
        <v>218</v>
      </c>
      <c r="B169">
        <v>426</v>
      </c>
    </row>
    <row r="170" spans="1:2" x14ac:dyDescent="0.25">
      <c r="A170" s="15" t="s">
        <v>1281</v>
      </c>
      <c r="B170" s="15">
        <v>430</v>
      </c>
    </row>
    <row r="171" spans="1:2" x14ac:dyDescent="0.25">
      <c r="A171" t="s">
        <v>382</v>
      </c>
      <c r="B171">
        <v>434</v>
      </c>
    </row>
    <row r="172" spans="1:2" x14ac:dyDescent="0.25">
      <c r="A172" t="s">
        <v>219</v>
      </c>
      <c r="B172">
        <v>438</v>
      </c>
    </row>
    <row r="173" spans="1:2" x14ac:dyDescent="0.25">
      <c r="A173" t="s">
        <v>220</v>
      </c>
      <c r="B173">
        <v>440</v>
      </c>
    </row>
    <row r="174" spans="1:2" x14ac:dyDescent="0.25">
      <c r="A174" t="s">
        <v>221</v>
      </c>
      <c r="B174">
        <v>442</v>
      </c>
    </row>
    <row r="175" spans="1:2" x14ac:dyDescent="0.25">
      <c r="A175" t="s">
        <v>222</v>
      </c>
      <c r="B175">
        <v>446</v>
      </c>
    </row>
    <row r="176" spans="1:2" x14ac:dyDescent="0.25">
      <c r="A176" t="s">
        <v>223</v>
      </c>
      <c r="B176">
        <v>807</v>
      </c>
    </row>
    <row r="177" spans="1:2" x14ac:dyDescent="0.25">
      <c r="A177" s="15" t="s">
        <v>1283</v>
      </c>
      <c r="B177" s="15">
        <v>450</v>
      </c>
    </row>
    <row r="178" spans="1:2" x14ac:dyDescent="0.25">
      <c r="A178" t="s">
        <v>224</v>
      </c>
      <c r="B178">
        <v>454</v>
      </c>
    </row>
    <row r="179" spans="1:2" x14ac:dyDescent="0.25">
      <c r="A179" t="s">
        <v>225</v>
      </c>
      <c r="B179">
        <v>458</v>
      </c>
    </row>
    <row r="180" spans="1:2" x14ac:dyDescent="0.25">
      <c r="A180" t="s">
        <v>227</v>
      </c>
      <c r="B180">
        <v>462</v>
      </c>
    </row>
    <row r="181" spans="1:2" x14ac:dyDescent="0.25">
      <c r="A181" s="15" t="s">
        <v>1321</v>
      </c>
      <c r="B181" s="15">
        <v>466</v>
      </c>
    </row>
    <row r="182" spans="1:2" x14ac:dyDescent="0.25">
      <c r="A182" t="s">
        <v>228</v>
      </c>
      <c r="B182">
        <v>470</v>
      </c>
    </row>
    <row r="183" spans="1:2" x14ac:dyDescent="0.25">
      <c r="A183" t="s">
        <v>229</v>
      </c>
      <c r="B183">
        <v>584</v>
      </c>
    </row>
    <row r="184" spans="1:2" x14ac:dyDescent="0.25">
      <c r="A184" t="s">
        <v>230</v>
      </c>
      <c r="B184">
        <v>474</v>
      </c>
    </row>
    <row r="185" spans="1:2" x14ac:dyDescent="0.25">
      <c r="A185" t="s">
        <v>231</v>
      </c>
      <c r="B185">
        <v>478</v>
      </c>
    </row>
    <row r="186" spans="1:2" x14ac:dyDescent="0.25">
      <c r="A186" t="s">
        <v>232</v>
      </c>
      <c r="B186">
        <v>480</v>
      </c>
    </row>
    <row r="187" spans="1:2" x14ac:dyDescent="0.25">
      <c r="A187" t="s">
        <v>233</v>
      </c>
      <c r="B187">
        <v>175</v>
      </c>
    </row>
    <row r="188" spans="1:2" x14ac:dyDescent="0.25">
      <c r="A188" t="s">
        <v>234</v>
      </c>
      <c r="B188">
        <v>484</v>
      </c>
    </row>
    <row r="189" spans="1:2" x14ac:dyDescent="0.25">
      <c r="A189" t="s">
        <v>235</v>
      </c>
      <c r="B189">
        <v>583</v>
      </c>
    </row>
    <row r="190" spans="1:2" x14ac:dyDescent="0.25">
      <c r="A190" t="s">
        <v>236</v>
      </c>
      <c r="B190">
        <v>498</v>
      </c>
    </row>
    <row r="191" spans="1:2" x14ac:dyDescent="0.25">
      <c r="A191" t="s">
        <v>237</v>
      </c>
      <c r="B191">
        <v>492</v>
      </c>
    </row>
    <row r="192" spans="1:2" x14ac:dyDescent="0.25">
      <c r="A192" t="s">
        <v>238</v>
      </c>
      <c r="B192">
        <v>496</v>
      </c>
    </row>
    <row r="193" spans="1:2" x14ac:dyDescent="0.25">
      <c r="A193" t="s">
        <v>239</v>
      </c>
      <c r="B193">
        <v>499</v>
      </c>
    </row>
    <row r="194" spans="1:2" x14ac:dyDescent="0.25">
      <c r="A194" s="8" t="s">
        <v>810</v>
      </c>
      <c r="B194">
        <v>500</v>
      </c>
    </row>
    <row r="195" spans="1:2" x14ac:dyDescent="0.25">
      <c r="A195" t="s">
        <v>240</v>
      </c>
      <c r="B195">
        <v>504</v>
      </c>
    </row>
    <row r="196" spans="1:2" x14ac:dyDescent="0.25">
      <c r="A196" s="15" t="s">
        <v>1286</v>
      </c>
      <c r="B196" s="15">
        <v>508</v>
      </c>
    </row>
    <row r="197" spans="1:2" x14ac:dyDescent="0.25">
      <c r="A197" t="s">
        <v>787</v>
      </c>
      <c r="B197">
        <v>104</v>
      </c>
    </row>
    <row r="198" spans="1:2" x14ac:dyDescent="0.25">
      <c r="A198" t="s">
        <v>241</v>
      </c>
      <c r="B198">
        <v>516</v>
      </c>
    </row>
    <row r="199" spans="1:2" x14ac:dyDescent="0.25">
      <c r="A199" t="s">
        <v>242</v>
      </c>
      <c r="B199">
        <v>524</v>
      </c>
    </row>
    <row r="200" spans="1:2" x14ac:dyDescent="0.25">
      <c r="A200" t="s">
        <v>243</v>
      </c>
      <c r="B200">
        <v>528</v>
      </c>
    </row>
    <row r="201" spans="1:2" x14ac:dyDescent="0.25">
      <c r="A201" t="s">
        <v>244</v>
      </c>
      <c r="B201">
        <v>530</v>
      </c>
    </row>
    <row r="202" spans="1:2" x14ac:dyDescent="0.25">
      <c r="A202" s="8" t="s">
        <v>811</v>
      </c>
      <c r="B202">
        <v>540</v>
      </c>
    </row>
    <row r="203" spans="1:2" x14ac:dyDescent="0.25">
      <c r="A203" t="s">
        <v>245</v>
      </c>
      <c r="B203">
        <v>554</v>
      </c>
    </row>
    <row r="204" spans="1:2" x14ac:dyDescent="0.25">
      <c r="A204" s="15" t="s">
        <v>1289</v>
      </c>
      <c r="B204" s="15">
        <v>562</v>
      </c>
    </row>
    <row r="205" spans="1:2" x14ac:dyDescent="0.25">
      <c r="A205" t="s">
        <v>246</v>
      </c>
      <c r="B205">
        <v>566</v>
      </c>
    </row>
    <row r="206" spans="1:2" x14ac:dyDescent="0.25">
      <c r="A206" t="s">
        <v>247</v>
      </c>
      <c r="B206">
        <v>580</v>
      </c>
    </row>
    <row r="207" spans="1:2" x14ac:dyDescent="0.25">
      <c r="A207" t="s">
        <v>248</v>
      </c>
      <c r="B207">
        <v>558</v>
      </c>
    </row>
    <row r="208" spans="1:2" x14ac:dyDescent="0.25">
      <c r="A208" s="8" t="s">
        <v>812</v>
      </c>
      <c r="B208">
        <v>570</v>
      </c>
    </row>
    <row r="209" spans="1:2" x14ac:dyDescent="0.25">
      <c r="A209" s="8" t="s">
        <v>813</v>
      </c>
      <c r="B209">
        <v>574</v>
      </c>
    </row>
    <row r="210" spans="1:2" x14ac:dyDescent="0.25">
      <c r="A210" t="s">
        <v>249</v>
      </c>
      <c r="B210">
        <v>578</v>
      </c>
    </row>
    <row r="211" spans="1:2" x14ac:dyDescent="0.25">
      <c r="A211" t="s">
        <v>250</v>
      </c>
      <c r="B211">
        <v>512</v>
      </c>
    </row>
    <row r="212" spans="1:2" x14ac:dyDescent="0.25">
      <c r="A212" t="s">
        <v>251</v>
      </c>
      <c r="B212">
        <v>586</v>
      </c>
    </row>
    <row r="213" spans="1:2" x14ac:dyDescent="0.25">
      <c r="A213" t="s">
        <v>252</v>
      </c>
      <c r="B213">
        <v>585</v>
      </c>
    </row>
    <row r="214" spans="1:2" x14ac:dyDescent="0.25">
      <c r="A214" t="s">
        <v>253</v>
      </c>
      <c r="B214">
        <v>591</v>
      </c>
    </row>
    <row r="215" spans="1:2" x14ac:dyDescent="0.25">
      <c r="A215" t="s">
        <v>254</v>
      </c>
      <c r="B215">
        <v>598</v>
      </c>
    </row>
    <row r="216" spans="1:2" x14ac:dyDescent="0.25">
      <c r="A216" t="s">
        <v>255</v>
      </c>
      <c r="B216">
        <v>600</v>
      </c>
    </row>
    <row r="217" spans="1:2" x14ac:dyDescent="0.25">
      <c r="A217" t="s">
        <v>256</v>
      </c>
      <c r="B217">
        <v>604</v>
      </c>
    </row>
    <row r="218" spans="1:2" x14ac:dyDescent="0.25">
      <c r="A218" t="s">
        <v>257</v>
      </c>
      <c r="B218">
        <v>608</v>
      </c>
    </row>
    <row r="219" spans="1:2" x14ac:dyDescent="0.25">
      <c r="A219" s="15" t="s">
        <v>1291</v>
      </c>
      <c r="B219" s="15">
        <v>612</v>
      </c>
    </row>
    <row r="220" spans="1:2" x14ac:dyDescent="0.25">
      <c r="A220" t="s">
        <v>258</v>
      </c>
      <c r="B220">
        <v>616</v>
      </c>
    </row>
    <row r="221" spans="1:2" x14ac:dyDescent="0.25">
      <c r="A221" t="s">
        <v>259</v>
      </c>
      <c r="B221">
        <v>620</v>
      </c>
    </row>
    <row r="222" spans="1:2" x14ac:dyDescent="0.25">
      <c r="A222" t="s">
        <v>260</v>
      </c>
      <c r="B222">
        <v>630</v>
      </c>
    </row>
    <row r="223" spans="1:2" x14ac:dyDescent="0.25">
      <c r="A223" t="s">
        <v>261</v>
      </c>
      <c r="B223">
        <v>634</v>
      </c>
    </row>
    <row r="224" spans="1:2" x14ac:dyDescent="0.25">
      <c r="A224" t="s">
        <v>262</v>
      </c>
      <c r="B224">
        <v>638</v>
      </c>
    </row>
    <row r="225" spans="1:2" x14ac:dyDescent="0.25">
      <c r="A225" t="s">
        <v>263</v>
      </c>
      <c r="B225">
        <v>642</v>
      </c>
    </row>
    <row r="226" spans="1:2" x14ac:dyDescent="0.25">
      <c r="A226" t="s">
        <v>264</v>
      </c>
      <c r="B226">
        <v>643</v>
      </c>
    </row>
    <row r="227" spans="1:2" x14ac:dyDescent="0.25">
      <c r="A227" t="s">
        <v>266</v>
      </c>
      <c r="B227">
        <v>646</v>
      </c>
    </row>
    <row r="228" spans="1:2" x14ac:dyDescent="0.25">
      <c r="A228" t="s">
        <v>267</v>
      </c>
      <c r="B228">
        <v>652</v>
      </c>
    </row>
    <row r="229" spans="1:2" x14ac:dyDescent="0.25">
      <c r="A229" s="8" t="s">
        <v>814</v>
      </c>
      <c r="B229">
        <v>654</v>
      </c>
    </row>
    <row r="230" spans="1:2" x14ac:dyDescent="0.25">
      <c r="A230" t="s">
        <v>268</v>
      </c>
      <c r="B230">
        <v>659</v>
      </c>
    </row>
    <row r="231" spans="1:2" x14ac:dyDescent="0.25">
      <c r="A231" t="s">
        <v>270</v>
      </c>
      <c r="B231">
        <v>662</v>
      </c>
    </row>
    <row r="232" spans="1:2" x14ac:dyDescent="0.25">
      <c r="A232" t="s">
        <v>271</v>
      </c>
      <c r="B232">
        <v>663</v>
      </c>
    </row>
    <row r="233" spans="1:2" x14ac:dyDescent="0.25">
      <c r="A233" t="s">
        <v>272</v>
      </c>
      <c r="B233">
        <v>666</v>
      </c>
    </row>
    <row r="234" spans="1:2" x14ac:dyDescent="0.25">
      <c r="A234" t="s">
        <v>273</v>
      </c>
      <c r="B234">
        <v>670</v>
      </c>
    </row>
    <row r="235" spans="1:2" x14ac:dyDescent="0.25">
      <c r="A235" t="s">
        <v>274</v>
      </c>
      <c r="B235">
        <v>882</v>
      </c>
    </row>
    <row r="236" spans="1:2" x14ac:dyDescent="0.25">
      <c r="A236" s="8" t="s">
        <v>815</v>
      </c>
      <c r="B236">
        <v>674</v>
      </c>
    </row>
    <row r="237" spans="1:2" x14ac:dyDescent="0.25">
      <c r="A237" s="8" t="s">
        <v>816</v>
      </c>
      <c r="B237">
        <v>678</v>
      </c>
    </row>
    <row r="238" spans="1:2" x14ac:dyDescent="0.25">
      <c r="A238" t="s">
        <v>275</v>
      </c>
      <c r="B238">
        <v>682</v>
      </c>
    </row>
    <row r="239" spans="1:2" x14ac:dyDescent="0.25">
      <c r="A239" t="s">
        <v>276</v>
      </c>
      <c r="B239">
        <v>686</v>
      </c>
    </row>
    <row r="240" spans="1:2" x14ac:dyDescent="0.25">
      <c r="A240" t="s">
        <v>277</v>
      </c>
      <c r="B240">
        <v>688</v>
      </c>
    </row>
    <row r="241" spans="1:2" x14ac:dyDescent="0.25">
      <c r="A241" s="15" t="s">
        <v>1293</v>
      </c>
      <c r="B241" s="15">
        <v>690</v>
      </c>
    </row>
    <row r="242" spans="1:2" x14ac:dyDescent="0.25">
      <c r="A242" s="15" t="s">
        <v>1295</v>
      </c>
      <c r="B242" s="15">
        <v>694</v>
      </c>
    </row>
    <row r="243" spans="1:2" x14ac:dyDescent="0.25">
      <c r="A243" t="s">
        <v>278</v>
      </c>
      <c r="B243">
        <v>702</v>
      </c>
    </row>
    <row r="244" spans="1:2" x14ac:dyDescent="0.25">
      <c r="A244" s="8" t="s">
        <v>817</v>
      </c>
      <c r="B244">
        <v>534</v>
      </c>
    </row>
    <row r="245" spans="1:2" x14ac:dyDescent="0.25">
      <c r="A245" t="s">
        <v>279</v>
      </c>
      <c r="B245">
        <v>703</v>
      </c>
    </row>
    <row r="246" spans="1:2" x14ac:dyDescent="0.25">
      <c r="A246" t="s">
        <v>280</v>
      </c>
      <c r="B246">
        <v>705</v>
      </c>
    </row>
    <row r="247" spans="1:2" x14ac:dyDescent="0.25">
      <c r="A247" t="s">
        <v>281</v>
      </c>
      <c r="B247">
        <v>710</v>
      </c>
    </row>
    <row r="248" spans="1:2" x14ac:dyDescent="0.25">
      <c r="A248" s="15" t="s">
        <v>1297</v>
      </c>
      <c r="B248" s="15">
        <v>239</v>
      </c>
    </row>
    <row r="249" spans="1:2" x14ac:dyDescent="0.25">
      <c r="A249" t="s">
        <v>282</v>
      </c>
      <c r="B249">
        <v>724</v>
      </c>
    </row>
    <row r="250" spans="1:2" x14ac:dyDescent="0.25">
      <c r="A250" t="s">
        <v>283</v>
      </c>
      <c r="B250">
        <v>740</v>
      </c>
    </row>
    <row r="251" spans="1:2" x14ac:dyDescent="0.25">
      <c r="A251" s="8" t="s">
        <v>818</v>
      </c>
      <c r="B251">
        <v>744</v>
      </c>
    </row>
    <row r="252" spans="1:2" x14ac:dyDescent="0.25">
      <c r="A252" t="s">
        <v>284</v>
      </c>
      <c r="B252">
        <v>144</v>
      </c>
    </row>
    <row r="253" spans="1:2" x14ac:dyDescent="0.25">
      <c r="A253" t="s">
        <v>285</v>
      </c>
      <c r="B253">
        <v>752</v>
      </c>
    </row>
    <row r="254" spans="1:2" x14ac:dyDescent="0.25">
      <c r="A254" t="s">
        <v>286</v>
      </c>
      <c r="B254">
        <v>756</v>
      </c>
    </row>
    <row r="255" spans="1:2" x14ac:dyDescent="0.25">
      <c r="A255" t="s">
        <v>287</v>
      </c>
      <c r="B255">
        <v>158</v>
      </c>
    </row>
    <row r="256" spans="1:2" x14ac:dyDescent="0.25">
      <c r="A256" s="15" t="s">
        <v>1299</v>
      </c>
      <c r="B256" s="15">
        <v>762</v>
      </c>
    </row>
    <row r="257" spans="1:2" x14ac:dyDescent="0.25">
      <c r="A257" t="s">
        <v>288</v>
      </c>
      <c r="B257">
        <v>834</v>
      </c>
    </row>
    <row r="258" spans="1:2" x14ac:dyDescent="0.25">
      <c r="A258" t="s">
        <v>289</v>
      </c>
      <c r="B258">
        <v>764</v>
      </c>
    </row>
    <row r="259" spans="1:2" x14ac:dyDescent="0.25">
      <c r="A259" t="s">
        <v>290</v>
      </c>
      <c r="B259">
        <v>768</v>
      </c>
    </row>
    <row r="260" spans="1:2" x14ac:dyDescent="0.25">
      <c r="A260" s="15" t="s">
        <v>1301</v>
      </c>
      <c r="B260" s="15">
        <v>772</v>
      </c>
    </row>
    <row r="261" spans="1:2" x14ac:dyDescent="0.25">
      <c r="A261" s="15" t="s">
        <v>1303</v>
      </c>
      <c r="B261" s="15">
        <v>776</v>
      </c>
    </row>
    <row r="262" spans="1:2" x14ac:dyDescent="0.25">
      <c r="A262" t="s">
        <v>291</v>
      </c>
      <c r="B262">
        <v>780</v>
      </c>
    </row>
    <row r="263" spans="1:2" x14ac:dyDescent="0.25">
      <c r="A263" t="s">
        <v>292</v>
      </c>
      <c r="B263">
        <v>788</v>
      </c>
    </row>
    <row r="264" spans="1:2" x14ac:dyDescent="0.25">
      <c r="A264" t="s">
        <v>293</v>
      </c>
      <c r="B264">
        <v>792</v>
      </c>
    </row>
    <row r="265" spans="1:2" x14ac:dyDescent="0.25">
      <c r="A265" s="15" t="s">
        <v>1305</v>
      </c>
      <c r="B265" s="15">
        <v>795</v>
      </c>
    </row>
    <row r="266" spans="1:2" x14ac:dyDescent="0.25">
      <c r="A266" t="s">
        <v>294</v>
      </c>
      <c r="B266">
        <v>796</v>
      </c>
    </row>
    <row r="267" spans="1:2" x14ac:dyDescent="0.25">
      <c r="A267" t="s">
        <v>295</v>
      </c>
      <c r="B267">
        <v>800</v>
      </c>
    </row>
    <row r="268" spans="1:2" x14ac:dyDescent="0.25">
      <c r="A268" t="s">
        <v>298</v>
      </c>
      <c r="B268">
        <v>784</v>
      </c>
    </row>
    <row r="269" spans="1:2" x14ac:dyDescent="0.25">
      <c r="A269" t="s">
        <v>296</v>
      </c>
      <c r="B269">
        <v>804</v>
      </c>
    </row>
    <row r="270" spans="1:2" x14ac:dyDescent="0.25">
      <c r="A270" t="s">
        <v>299</v>
      </c>
      <c r="B270">
        <v>826</v>
      </c>
    </row>
    <row r="271" spans="1:2" x14ac:dyDescent="0.25">
      <c r="A271" t="s">
        <v>300</v>
      </c>
      <c r="B271">
        <v>840</v>
      </c>
    </row>
    <row r="272" spans="1:2" x14ac:dyDescent="0.25">
      <c r="A272" s="8" t="s">
        <v>819</v>
      </c>
      <c r="B272">
        <v>581</v>
      </c>
    </row>
    <row r="273" spans="1:2" x14ac:dyDescent="0.25">
      <c r="A273" t="s">
        <v>301</v>
      </c>
      <c r="B273">
        <v>841</v>
      </c>
    </row>
    <row r="274" spans="1:2" x14ac:dyDescent="0.25">
      <c r="A274" t="s">
        <v>302</v>
      </c>
      <c r="B274">
        <v>842</v>
      </c>
    </row>
    <row r="275" spans="1:2" x14ac:dyDescent="0.25">
      <c r="A275" t="s">
        <v>304</v>
      </c>
      <c r="B275">
        <v>843</v>
      </c>
    </row>
    <row r="276" spans="1:2" x14ac:dyDescent="0.25">
      <c r="A276" t="s">
        <v>306</v>
      </c>
      <c r="B276">
        <v>858</v>
      </c>
    </row>
    <row r="277" spans="1:2" x14ac:dyDescent="0.25">
      <c r="A277" t="s">
        <v>307</v>
      </c>
      <c r="B277">
        <v>860</v>
      </c>
    </row>
    <row r="278" spans="1:2" x14ac:dyDescent="0.25">
      <c r="A278" t="s">
        <v>308</v>
      </c>
      <c r="B278">
        <v>548</v>
      </c>
    </row>
    <row r="279" spans="1:2" x14ac:dyDescent="0.25">
      <c r="A279" t="s">
        <v>309</v>
      </c>
      <c r="B279">
        <v>862</v>
      </c>
    </row>
    <row r="280" spans="1:2" x14ac:dyDescent="0.25">
      <c r="A280" t="s">
        <v>311</v>
      </c>
      <c r="B280">
        <v>704</v>
      </c>
    </row>
    <row r="281" spans="1:2" x14ac:dyDescent="0.25">
      <c r="A281" t="s">
        <v>312</v>
      </c>
      <c r="B281">
        <v>850</v>
      </c>
    </row>
    <row r="282" spans="1:2" x14ac:dyDescent="0.25">
      <c r="A282" s="8" t="s">
        <v>820</v>
      </c>
      <c r="B282">
        <v>92</v>
      </c>
    </row>
    <row r="283" spans="1:2" x14ac:dyDescent="0.25">
      <c r="A283" t="s">
        <v>313</v>
      </c>
      <c r="B283">
        <v>876</v>
      </c>
    </row>
    <row r="284" spans="1:2" x14ac:dyDescent="0.25">
      <c r="A284" t="s">
        <v>369</v>
      </c>
      <c r="B284">
        <v>4100</v>
      </c>
    </row>
    <row r="285" spans="1:2" x14ac:dyDescent="0.25">
      <c r="A285" s="15" t="s">
        <v>1307</v>
      </c>
      <c r="B285" s="15">
        <v>732</v>
      </c>
    </row>
    <row r="286" spans="1:2" x14ac:dyDescent="0.25">
      <c r="A286" t="s">
        <v>314</v>
      </c>
      <c r="B286">
        <v>887</v>
      </c>
    </row>
    <row r="287" spans="1:2" x14ac:dyDescent="0.25">
      <c r="A287" t="s">
        <v>1124</v>
      </c>
      <c r="B287">
        <v>894</v>
      </c>
    </row>
    <row r="288" spans="1:2" x14ac:dyDescent="0.25">
      <c r="A288" t="s">
        <v>315</v>
      </c>
      <c r="B288">
        <v>716</v>
      </c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0"/>
  <sheetViews>
    <sheetView zoomScaleNormal="100" workbookViewId="0">
      <pane ySplit="1" topLeftCell="A110" activePane="bottomLeft" state="frozen"/>
      <selection pane="bottomLeft" activeCell="A139" sqref="A139"/>
    </sheetView>
  </sheetViews>
  <sheetFormatPr defaultRowHeight="15" x14ac:dyDescent="0.25"/>
  <cols>
    <col min="1" max="1" width="26.28515625" customWidth="1"/>
    <col min="2" max="2" width="18.28515625" customWidth="1"/>
    <col min="3" max="3" width="18.7109375" customWidth="1"/>
    <col min="7" max="7" width="16" customWidth="1"/>
  </cols>
  <sheetData>
    <row r="1" spans="1:3" s="1" customFormat="1" x14ac:dyDescent="0.25">
      <c r="A1" s="1" t="s">
        <v>383</v>
      </c>
      <c r="B1" s="1" t="s">
        <v>384</v>
      </c>
      <c r="C1" s="1" t="s">
        <v>385</v>
      </c>
    </row>
    <row r="2" spans="1:3" x14ac:dyDescent="0.25">
      <c r="A2" t="s">
        <v>386</v>
      </c>
      <c r="B2" t="s">
        <v>387</v>
      </c>
      <c r="C2">
        <f>HEX2DEC(MID(B2,3,(LEN(B2)-2)))</f>
        <v>0</v>
      </c>
    </row>
    <row r="3" spans="1:3" x14ac:dyDescent="0.25">
      <c r="A3" t="s">
        <v>210</v>
      </c>
      <c r="B3" t="s">
        <v>388</v>
      </c>
      <c r="C3">
        <f>HEX2DEC(MID(B3,3,(LEN(B3)-2)))</f>
        <v>3</v>
      </c>
    </row>
    <row r="4" spans="1:3" x14ac:dyDescent="0.25">
      <c r="A4" t="s">
        <v>389</v>
      </c>
      <c r="B4" t="s">
        <v>390</v>
      </c>
      <c r="C4">
        <f>HEX2DEC(MID(B4,3,(LEN(B4)-2)))</f>
        <v>7</v>
      </c>
    </row>
    <row r="5" spans="1:3" x14ac:dyDescent="0.25">
      <c r="A5" t="s">
        <v>391</v>
      </c>
      <c r="B5" t="s">
        <v>392</v>
      </c>
      <c r="C5">
        <f>HEX2DEC(MID(B5,3,(LEN(B5)-2)))</f>
        <v>8</v>
      </c>
    </row>
    <row r="6" spans="1:3" x14ac:dyDescent="0.25">
      <c r="A6" t="s">
        <v>877</v>
      </c>
      <c r="B6" t="s">
        <v>878</v>
      </c>
      <c r="C6">
        <v>9</v>
      </c>
    </row>
    <row r="7" spans="1:3" x14ac:dyDescent="0.25">
      <c r="A7" t="s">
        <v>171</v>
      </c>
      <c r="B7" t="s">
        <v>393</v>
      </c>
      <c r="C7">
        <f t="shared" ref="C7:C70" si="0">HEX2DEC(MID(B7,3,(LEN(B7)-2)))</f>
        <v>16</v>
      </c>
    </row>
    <row r="8" spans="1:3" x14ac:dyDescent="0.25">
      <c r="A8" t="s">
        <v>177</v>
      </c>
      <c r="B8" t="s">
        <v>394</v>
      </c>
      <c r="C8">
        <f t="shared" si="0"/>
        <v>17</v>
      </c>
    </row>
    <row r="9" spans="1:3" x14ac:dyDescent="0.25">
      <c r="A9" t="s">
        <v>303</v>
      </c>
      <c r="B9" t="s">
        <v>402</v>
      </c>
      <c r="C9">
        <f t="shared" si="0"/>
        <v>18</v>
      </c>
    </row>
    <row r="10" spans="1:3" x14ac:dyDescent="0.25">
      <c r="A10" t="s">
        <v>403</v>
      </c>
      <c r="B10" t="s">
        <v>404</v>
      </c>
      <c r="C10">
        <f t="shared" si="0"/>
        <v>19</v>
      </c>
    </row>
    <row r="11" spans="1:3" x14ac:dyDescent="0.25">
      <c r="A11" t="s">
        <v>155</v>
      </c>
      <c r="B11" t="s">
        <v>479</v>
      </c>
      <c r="C11">
        <f t="shared" si="0"/>
        <v>212</v>
      </c>
    </row>
    <row r="12" spans="1:3" x14ac:dyDescent="0.25">
      <c r="A12" t="s">
        <v>405</v>
      </c>
      <c r="B12" t="s">
        <v>406</v>
      </c>
      <c r="C12">
        <f t="shared" si="0"/>
        <v>22</v>
      </c>
    </row>
    <row r="13" spans="1:3" x14ac:dyDescent="0.25">
      <c r="A13" t="s">
        <v>305</v>
      </c>
      <c r="B13" t="s">
        <v>406</v>
      </c>
      <c r="C13">
        <f t="shared" si="0"/>
        <v>22</v>
      </c>
    </row>
    <row r="14" spans="1:3" x14ac:dyDescent="0.25">
      <c r="A14" t="s">
        <v>773</v>
      </c>
      <c r="B14" t="s">
        <v>776</v>
      </c>
      <c r="C14">
        <f t="shared" si="0"/>
        <v>23</v>
      </c>
    </row>
    <row r="15" spans="1:3" x14ac:dyDescent="0.25">
      <c r="A15" t="s">
        <v>774</v>
      </c>
      <c r="B15" t="s">
        <v>777</v>
      </c>
      <c r="C15">
        <f t="shared" si="0"/>
        <v>24</v>
      </c>
    </row>
    <row r="16" spans="1:3" x14ac:dyDescent="0.25">
      <c r="A16" t="s">
        <v>226</v>
      </c>
      <c r="B16" t="s">
        <v>408</v>
      </c>
      <c r="C16">
        <f t="shared" si="0"/>
        <v>25</v>
      </c>
    </row>
    <row r="17" spans="1:3" x14ac:dyDescent="0.25">
      <c r="A17" t="s">
        <v>395</v>
      </c>
      <c r="B17" t="s">
        <v>396</v>
      </c>
      <c r="C17">
        <f t="shared" si="0"/>
        <v>32</v>
      </c>
    </row>
    <row r="18" spans="1:3" x14ac:dyDescent="0.25">
      <c r="A18" t="s">
        <v>136</v>
      </c>
      <c r="B18" t="s">
        <v>397</v>
      </c>
      <c r="C18">
        <f t="shared" si="0"/>
        <v>33</v>
      </c>
    </row>
    <row r="19" spans="1:3" x14ac:dyDescent="0.25">
      <c r="A19" t="s">
        <v>310</v>
      </c>
      <c r="B19" t="s">
        <v>398</v>
      </c>
      <c r="C19">
        <f t="shared" si="0"/>
        <v>34</v>
      </c>
    </row>
    <row r="20" spans="1:3" x14ac:dyDescent="0.25">
      <c r="A20" t="s">
        <v>127</v>
      </c>
      <c r="B20" t="s">
        <v>409</v>
      </c>
      <c r="C20">
        <f t="shared" si="0"/>
        <v>35</v>
      </c>
    </row>
    <row r="21" spans="1:3" x14ac:dyDescent="0.25">
      <c r="A21" t="s">
        <v>775</v>
      </c>
      <c r="B21" t="s">
        <v>778</v>
      </c>
      <c r="C21">
        <f t="shared" si="0"/>
        <v>36</v>
      </c>
    </row>
    <row r="22" spans="1:3" x14ac:dyDescent="0.25">
      <c r="A22" t="s">
        <v>784</v>
      </c>
      <c r="B22" t="s">
        <v>785</v>
      </c>
      <c r="C22">
        <f t="shared" si="0"/>
        <v>37</v>
      </c>
    </row>
    <row r="23" spans="1:3" x14ac:dyDescent="0.25">
      <c r="A23" t="s">
        <v>423</v>
      </c>
      <c r="B23" t="s">
        <v>424</v>
      </c>
      <c r="C23">
        <f t="shared" si="0"/>
        <v>38</v>
      </c>
    </row>
    <row r="24" spans="1:3" x14ac:dyDescent="0.25">
      <c r="A24" t="s">
        <v>584</v>
      </c>
      <c r="B24" t="s">
        <v>587</v>
      </c>
      <c r="C24">
        <f t="shared" si="0"/>
        <v>39</v>
      </c>
    </row>
    <row r="25" spans="1:3" x14ac:dyDescent="0.25">
      <c r="A25" t="s">
        <v>585</v>
      </c>
      <c r="B25" t="s">
        <v>586</v>
      </c>
      <c r="C25">
        <f t="shared" si="0"/>
        <v>40</v>
      </c>
    </row>
    <row r="26" spans="1:3" x14ac:dyDescent="0.25">
      <c r="A26" t="s">
        <v>593</v>
      </c>
      <c r="B26" t="s">
        <v>594</v>
      </c>
      <c r="C26">
        <f t="shared" si="0"/>
        <v>41</v>
      </c>
    </row>
    <row r="27" spans="1:3" x14ac:dyDescent="0.25">
      <c r="A27" t="s">
        <v>123</v>
      </c>
      <c r="B27" t="s">
        <v>414</v>
      </c>
      <c r="C27">
        <f t="shared" si="0"/>
        <v>48</v>
      </c>
    </row>
    <row r="28" spans="1:3" x14ac:dyDescent="0.25">
      <c r="A28" t="s">
        <v>786</v>
      </c>
      <c r="B28" t="s">
        <v>427</v>
      </c>
      <c r="C28">
        <f t="shared" si="0"/>
        <v>49</v>
      </c>
    </row>
    <row r="29" spans="1:3" x14ac:dyDescent="0.25">
      <c r="A29" t="s">
        <v>425</v>
      </c>
      <c r="B29" t="s">
        <v>426</v>
      </c>
      <c r="C29">
        <f t="shared" si="0"/>
        <v>51</v>
      </c>
    </row>
    <row r="30" spans="1:3" x14ac:dyDescent="0.25">
      <c r="A30" t="s">
        <v>419</v>
      </c>
      <c r="B30" t="s">
        <v>420</v>
      </c>
      <c r="C30">
        <f t="shared" si="0"/>
        <v>52</v>
      </c>
    </row>
    <row r="31" spans="1:3" x14ac:dyDescent="0.25">
      <c r="A31" t="s">
        <v>411</v>
      </c>
      <c r="B31" t="s">
        <v>412</v>
      </c>
      <c r="C31">
        <f t="shared" si="0"/>
        <v>53</v>
      </c>
    </row>
    <row r="32" spans="1:3" x14ac:dyDescent="0.25">
      <c r="A32" t="s">
        <v>175</v>
      </c>
      <c r="B32" t="s">
        <v>413</v>
      </c>
      <c r="C32">
        <f t="shared" si="0"/>
        <v>54</v>
      </c>
    </row>
    <row r="33" spans="1:3" x14ac:dyDescent="0.25">
      <c r="A33" t="s">
        <v>111</v>
      </c>
      <c r="B33" t="s">
        <v>410</v>
      </c>
      <c r="C33">
        <f t="shared" si="0"/>
        <v>55</v>
      </c>
    </row>
    <row r="34" spans="1:3" x14ac:dyDescent="0.25">
      <c r="A34" t="s">
        <v>415</v>
      </c>
      <c r="B34" t="s">
        <v>416</v>
      </c>
      <c r="C34">
        <f t="shared" si="0"/>
        <v>56</v>
      </c>
    </row>
    <row r="35" spans="1:3" x14ac:dyDescent="0.25">
      <c r="A35" t="s">
        <v>417</v>
      </c>
      <c r="B35" t="s">
        <v>418</v>
      </c>
      <c r="C35">
        <f t="shared" si="0"/>
        <v>57</v>
      </c>
    </row>
    <row r="36" spans="1:3" x14ac:dyDescent="0.25">
      <c r="A36" t="s">
        <v>116</v>
      </c>
      <c r="B36" t="s">
        <v>399</v>
      </c>
      <c r="C36">
        <f t="shared" si="0"/>
        <v>58</v>
      </c>
    </row>
    <row r="37" spans="1:3" x14ac:dyDescent="0.25">
      <c r="A37" t="s">
        <v>119</v>
      </c>
      <c r="B37" t="s">
        <v>400</v>
      </c>
      <c r="C37">
        <f t="shared" si="0"/>
        <v>59</v>
      </c>
    </row>
    <row r="38" spans="1:3" x14ac:dyDescent="0.25">
      <c r="A38" t="s">
        <v>265</v>
      </c>
      <c r="B38" t="s">
        <v>421</v>
      </c>
      <c r="C38">
        <f t="shared" si="0"/>
        <v>61</v>
      </c>
    </row>
    <row r="39" spans="1:3" x14ac:dyDescent="0.25">
      <c r="A39" t="s">
        <v>297</v>
      </c>
      <c r="B39" t="s">
        <v>422</v>
      </c>
      <c r="C39">
        <f t="shared" si="0"/>
        <v>62</v>
      </c>
    </row>
    <row r="40" spans="1:3" x14ac:dyDescent="0.25">
      <c r="A40" t="s">
        <v>141</v>
      </c>
      <c r="B40" t="s">
        <v>401</v>
      </c>
      <c r="C40">
        <f t="shared" si="0"/>
        <v>63</v>
      </c>
    </row>
    <row r="41" spans="1:3" x14ac:dyDescent="0.25">
      <c r="A41" t="s">
        <v>864</v>
      </c>
      <c r="B41" t="s">
        <v>872</v>
      </c>
      <c r="C41">
        <f t="shared" si="0"/>
        <v>65</v>
      </c>
    </row>
    <row r="42" spans="1:3" x14ac:dyDescent="0.25">
      <c r="A42" t="s">
        <v>208</v>
      </c>
      <c r="B42" t="s">
        <v>429</v>
      </c>
      <c r="C42">
        <f t="shared" si="0"/>
        <v>66</v>
      </c>
    </row>
    <row r="43" spans="1:3" x14ac:dyDescent="0.25">
      <c r="A43" t="s">
        <v>822</v>
      </c>
      <c r="B43" t="s">
        <v>824</v>
      </c>
      <c r="C43">
        <f t="shared" si="0"/>
        <v>67</v>
      </c>
    </row>
    <row r="44" spans="1:3" x14ac:dyDescent="0.25">
      <c r="A44" t="s">
        <v>432</v>
      </c>
      <c r="B44" t="s">
        <v>433</v>
      </c>
      <c r="C44">
        <f t="shared" si="0"/>
        <v>68</v>
      </c>
    </row>
    <row r="45" spans="1:3" x14ac:dyDescent="0.25">
      <c r="A45" t="s">
        <v>434</v>
      </c>
      <c r="B45" t="s">
        <v>435</v>
      </c>
      <c r="C45">
        <f t="shared" si="0"/>
        <v>69</v>
      </c>
    </row>
    <row r="46" spans="1:3" x14ac:dyDescent="0.25">
      <c r="A46" t="s">
        <v>436</v>
      </c>
      <c r="B46" t="s">
        <v>437</v>
      </c>
      <c r="C46">
        <f t="shared" si="0"/>
        <v>70</v>
      </c>
    </row>
    <row r="47" spans="1:3" x14ac:dyDescent="0.25">
      <c r="A47" t="s">
        <v>438</v>
      </c>
      <c r="B47" t="s">
        <v>439</v>
      </c>
      <c r="C47">
        <f t="shared" si="0"/>
        <v>71</v>
      </c>
    </row>
    <row r="48" spans="1:3" x14ac:dyDescent="0.25">
      <c r="A48" t="s">
        <v>821</v>
      </c>
      <c r="B48" t="s">
        <v>823</v>
      </c>
      <c r="C48">
        <f t="shared" si="0"/>
        <v>72</v>
      </c>
    </row>
    <row r="49" spans="1:3" x14ac:dyDescent="0.25">
      <c r="A49" t="s">
        <v>440</v>
      </c>
      <c r="B49" t="s">
        <v>441</v>
      </c>
      <c r="C49">
        <f t="shared" si="0"/>
        <v>73</v>
      </c>
    </row>
    <row r="50" spans="1:3" x14ac:dyDescent="0.25">
      <c r="A50" t="s">
        <v>894</v>
      </c>
      <c r="B50" t="s">
        <v>897</v>
      </c>
      <c r="C50">
        <f t="shared" si="0"/>
        <v>74</v>
      </c>
    </row>
    <row r="51" spans="1:3" x14ac:dyDescent="0.25">
      <c r="A51" t="s">
        <v>966</v>
      </c>
      <c r="B51" t="s">
        <v>967</v>
      </c>
      <c r="C51">
        <f t="shared" si="0"/>
        <v>75</v>
      </c>
    </row>
    <row r="52" spans="1:3" x14ac:dyDescent="0.25">
      <c r="A52" t="s">
        <v>442</v>
      </c>
      <c r="B52" t="s">
        <v>443</v>
      </c>
      <c r="C52">
        <f t="shared" si="0"/>
        <v>77</v>
      </c>
    </row>
    <row r="53" spans="1:3" x14ac:dyDescent="0.25">
      <c r="A53" t="s">
        <v>545</v>
      </c>
      <c r="B53" t="s">
        <v>564</v>
      </c>
      <c r="C53">
        <f t="shared" si="0"/>
        <v>79</v>
      </c>
    </row>
    <row r="54" spans="1:3" x14ac:dyDescent="0.25">
      <c r="A54" t="s">
        <v>430</v>
      </c>
      <c r="B54" t="s">
        <v>431</v>
      </c>
      <c r="C54">
        <f t="shared" si="0"/>
        <v>80</v>
      </c>
    </row>
    <row r="55" spans="1:3" x14ac:dyDescent="0.25">
      <c r="A55" t="s">
        <v>212</v>
      </c>
      <c r="B55" t="s">
        <v>456</v>
      </c>
      <c r="C55">
        <f t="shared" si="0"/>
        <v>81</v>
      </c>
    </row>
    <row r="56" spans="1:3" x14ac:dyDescent="0.25">
      <c r="A56" t="s">
        <v>134</v>
      </c>
      <c r="B56" t="s">
        <v>444</v>
      </c>
      <c r="C56">
        <f t="shared" si="0"/>
        <v>82</v>
      </c>
    </row>
    <row r="57" spans="1:3" x14ac:dyDescent="0.25">
      <c r="A57" t="s">
        <v>445</v>
      </c>
      <c r="B57" t="s">
        <v>446</v>
      </c>
      <c r="C57">
        <f t="shared" si="0"/>
        <v>83</v>
      </c>
    </row>
    <row r="58" spans="1:3" x14ac:dyDescent="0.25">
      <c r="A58" t="s">
        <v>194</v>
      </c>
      <c r="B58" t="s">
        <v>447</v>
      </c>
      <c r="C58">
        <f t="shared" si="0"/>
        <v>85</v>
      </c>
    </row>
    <row r="59" spans="1:3" x14ac:dyDescent="0.25">
      <c r="A59" t="s">
        <v>202</v>
      </c>
      <c r="B59" t="s">
        <v>448</v>
      </c>
      <c r="C59">
        <f t="shared" si="0"/>
        <v>86</v>
      </c>
    </row>
    <row r="60" spans="1:3" x14ac:dyDescent="0.25">
      <c r="A60" t="s">
        <v>161</v>
      </c>
      <c r="B60" t="s">
        <v>458</v>
      </c>
      <c r="C60">
        <f t="shared" si="0"/>
        <v>87</v>
      </c>
    </row>
    <row r="61" spans="1:3" x14ac:dyDescent="0.25">
      <c r="A61" t="s">
        <v>449</v>
      </c>
      <c r="B61" t="s">
        <v>450</v>
      </c>
      <c r="C61">
        <f t="shared" si="0"/>
        <v>88</v>
      </c>
    </row>
    <row r="62" spans="1:3" x14ac:dyDescent="0.25">
      <c r="A62" t="s">
        <v>132</v>
      </c>
      <c r="B62" t="s">
        <v>459</v>
      </c>
      <c r="C62">
        <f t="shared" si="0"/>
        <v>89</v>
      </c>
    </row>
    <row r="63" spans="1:3" x14ac:dyDescent="0.25">
      <c r="A63" t="s">
        <v>114</v>
      </c>
      <c r="B63" t="s">
        <v>457</v>
      </c>
      <c r="C63">
        <f t="shared" si="0"/>
        <v>90</v>
      </c>
    </row>
    <row r="64" spans="1:3" x14ac:dyDescent="0.25">
      <c r="A64" t="s">
        <v>149</v>
      </c>
      <c r="B64" t="s">
        <v>428</v>
      </c>
      <c r="C64">
        <f t="shared" si="0"/>
        <v>91</v>
      </c>
    </row>
    <row r="65" spans="1:3" x14ac:dyDescent="0.25">
      <c r="A65" t="s">
        <v>451</v>
      </c>
      <c r="B65" t="s">
        <v>452</v>
      </c>
      <c r="C65">
        <f t="shared" si="0"/>
        <v>92</v>
      </c>
    </row>
    <row r="66" spans="1:3" x14ac:dyDescent="0.25">
      <c r="A66" t="s">
        <v>145</v>
      </c>
      <c r="B66" t="s">
        <v>453</v>
      </c>
      <c r="C66">
        <f t="shared" si="0"/>
        <v>93</v>
      </c>
    </row>
    <row r="67" spans="1:3" x14ac:dyDescent="0.25">
      <c r="A67" t="s">
        <v>214</v>
      </c>
      <c r="B67" t="s">
        <v>454</v>
      </c>
      <c r="C67">
        <f t="shared" si="0"/>
        <v>94</v>
      </c>
    </row>
    <row r="68" spans="1:3" x14ac:dyDescent="0.25">
      <c r="A68" t="s">
        <v>269</v>
      </c>
      <c r="B68" t="s">
        <v>455</v>
      </c>
      <c r="C68">
        <f t="shared" si="0"/>
        <v>95</v>
      </c>
    </row>
    <row r="69" spans="1:3" x14ac:dyDescent="0.25">
      <c r="A69" t="s">
        <v>482</v>
      </c>
      <c r="B69" t="s">
        <v>483</v>
      </c>
      <c r="C69">
        <f t="shared" si="0"/>
        <v>96</v>
      </c>
    </row>
    <row r="70" spans="1:3" x14ac:dyDescent="0.25">
      <c r="A70" t="s">
        <v>484</v>
      </c>
      <c r="B70" t="s">
        <v>485</v>
      </c>
      <c r="C70">
        <f t="shared" si="0"/>
        <v>97</v>
      </c>
    </row>
    <row r="71" spans="1:3" x14ac:dyDescent="0.25">
      <c r="A71" t="s">
        <v>486</v>
      </c>
      <c r="B71" t="s">
        <v>487</v>
      </c>
      <c r="C71">
        <f t="shared" ref="C71:C134" si="1">HEX2DEC(MID(B71,3,(LEN(B71)-2)))</f>
        <v>98</v>
      </c>
    </row>
    <row r="72" spans="1:3" x14ac:dyDescent="0.25">
      <c r="A72" t="s">
        <v>488</v>
      </c>
      <c r="B72" t="s">
        <v>489</v>
      </c>
      <c r="C72">
        <f t="shared" si="1"/>
        <v>99</v>
      </c>
    </row>
    <row r="73" spans="1:3" x14ac:dyDescent="0.25">
      <c r="A73" t="s">
        <v>490</v>
      </c>
      <c r="B73" t="s">
        <v>491</v>
      </c>
      <c r="C73">
        <f t="shared" si="1"/>
        <v>100</v>
      </c>
    </row>
    <row r="74" spans="1:3" x14ac:dyDescent="0.25">
      <c r="A74" t="s">
        <v>492</v>
      </c>
      <c r="B74" t="s">
        <v>493</v>
      </c>
      <c r="C74">
        <f t="shared" si="1"/>
        <v>101</v>
      </c>
    </row>
    <row r="75" spans="1:3" x14ac:dyDescent="0.25">
      <c r="A75" t="s">
        <v>494</v>
      </c>
      <c r="B75" t="s">
        <v>495</v>
      </c>
      <c r="C75">
        <f t="shared" si="1"/>
        <v>102</v>
      </c>
    </row>
    <row r="76" spans="1:3" x14ac:dyDescent="0.25">
      <c r="A76" t="s">
        <v>496</v>
      </c>
      <c r="B76" t="s">
        <v>497</v>
      </c>
      <c r="C76">
        <f t="shared" si="1"/>
        <v>103</v>
      </c>
    </row>
    <row r="77" spans="1:3" x14ac:dyDescent="0.25">
      <c r="A77" t="s">
        <v>498</v>
      </c>
      <c r="B77" t="s">
        <v>499</v>
      </c>
      <c r="C77">
        <f t="shared" si="1"/>
        <v>104</v>
      </c>
    </row>
    <row r="78" spans="1:3" x14ac:dyDescent="0.25">
      <c r="A78" t="s">
        <v>500</v>
      </c>
      <c r="B78" t="s">
        <v>501</v>
      </c>
      <c r="C78">
        <f t="shared" si="1"/>
        <v>105</v>
      </c>
    </row>
    <row r="79" spans="1:3" x14ac:dyDescent="0.25">
      <c r="A79" t="s">
        <v>502</v>
      </c>
      <c r="B79" t="s">
        <v>503</v>
      </c>
      <c r="C79">
        <f t="shared" si="1"/>
        <v>106</v>
      </c>
    </row>
    <row r="80" spans="1:3" x14ac:dyDescent="0.25">
      <c r="A80" t="s">
        <v>504</v>
      </c>
      <c r="B80" t="s">
        <v>505</v>
      </c>
      <c r="C80">
        <f t="shared" si="1"/>
        <v>107</v>
      </c>
    </row>
    <row r="81" spans="1:3" x14ac:dyDescent="0.25">
      <c r="A81" t="s">
        <v>506</v>
      </c>
      <c r="B81" t="s">
        <v>507</v>
      </c>
      <c r="C81">
        <f t="shared" si="1"/>
        <v>108</v>
      </c>
    </row>
    <row r="82" spans="1:3" x14ac:dyDescent="0.25">
      <c r="A82" t="s">
        <v>865</v>
      </c>
      <c r="B82" t="s">
        <v>873</v>
      </c>
      <c r="C82">
        <f t="shared" si="1"/>
        <v>109</v>
      </c>
    </row>
    <row r="83" spans="1:3" x14ac:dyDescent="0.25">
      <c r="A83" t="s">
        <v>1112</v>
      </c>
      <c r="B83" t="s">
        <v>1128</v>
      </c>
      <c r="C83">
        <f t="shared" si="1"/>
        <v>110</v>
      </c>
    </row>
    <row r="84" spans="1:3" x14ac:dyDescent="0.25">
      <c r="A84" t="s">
        <v>121</v>
      </c>
      <c r="B84" t="s">
        <v>460</v>
      </c>
      <c r="C84">
        <f t="shared" si="1"/>
        <v>112</v>
      </c>
    </row>
    <row r="85" spans="1:3" x14ac:dyDescent="0.25">
      <c r="A85" t="s">
        <v>541</v>
      </c>
      <c r="B85" t="s">
        <v>566</v>
      </c>
      <c r="C85">
        <f t="shared" si="1"/>
        <v>113</v>
      </c>
    </row>
    <row r="86" spans="1:3" x14ac:dyDescent="0.25">
      <c r="A86" t="s">
        <v>1011</v>
      </c>
      <c r="B86" t="s">
        <v>1012</v>
      </c>
      <c r="C86">
        <f t="shared" si="1"/>
        <v>114</v>
      </c>
    </row>
    <row r="87" spans="1:3" x14ac:dyDescent="0.25">
      <c r="A87" t="s">
        <v>1016</v>
      </c>
      <c r="B87" t="s">
        <v>1017</v>
      </c>
      <c r="C87">
        <f t="shared" si="1"/>
        <v>115</v>
      </c>
    </row>
    <row r="88" spans="1:3" x14ac:dyDescent="0.25">
      <c r="A88" t="s">
        <v>1014</v>
      </c>
      <c r="B88" t="s">
        <v>1015</v>
      </c>
      <c r="C88">
        <f t="shared" si="1"/>
        <v>116</v>
      </c>
    </row>
    <row r="89" spans="1:3" x14ac:dyDescent="0.25">
      <c r="A89" t="s">
        <v>1020</v>
      </c>
      <c r="B89" t="s">
        <v>1057</v>
      </c>
      <c r="C89">
        <f t="shared" si="1"/>
        <v>117</v>
      </c>
    </row>
    <row r="90" spans="1:3" x14ac:dyDescent="0.25">
      <c r="A90" t="s">
        <v>1143</v>
      </c>
      <c r="B90" t="s">
        <v>1144</v>
      </c>
      <c r="C90">
        <f t="shared" si="1"/>
        <v>118</v>
      </c>
    </row>
    <row r="91" spans="1:3" x14ac:dyDescent="0.25">
      <c r="A91" t="s">
        <v>1167</v>
      </c>
      <c r="B91" t="s">
        <v>1189</v>
      </c>
      <c r="C91">
        <f t="shared" si="1"/>
        <v>119</v>
      </c>
    </row>
    <row r="92" spans="1:3" x14ac:dyDescent="0.25">
      <c r="A92" t="s">
        <v>1060</v>
      </c>
      <c r="B92" t="s">
        <v>1061</v>
      </c>
      <c r="C92">
        <f t="shared" si="1"/>
        <v>122</v>
      </c>
    </row>
    <row r="93" spans="1:3" x14ac:dyDescent="0.25">
      <c r="A93" t="s">
        <v>1145</v>
      </c>
      <c r="B93" t="s">
        <v>1151</v>
      </c>
      <c r="C93">
        <f t="shared" si="1"/>
        <v>123</v>
      </c>
    </row>
    <row r="94" spans="1:3" x14ac:dyDescent="0.25">
      <c r="A94" t="s">
        <v>1163</v>
      </c>
      <c r="B94" t="s">
        <v>1187</v>
      </c>
      <c r="C94">
        <f t="shared" si="1"/>
        <v>124</v>
      </c>
    </row>
    <row r="95" spans="1:3" x14ac:dyDescent="0.25">
      <c r="A95" t="s">
        <v>1223</v>
      </c>
      <c r="B95" t="s">
        <v>1230</v>
      </c>
      <c r="C95">
        <f t="shared" si="1"/>
        <v>127</v>
      </c>
    </row>
    <row r="96" spans="1:3" x14ac:dyDescent="0.25">
      <c r="A96" t="s">
        <v>317</v>
      </c>
      <c r="B96" t="s">
        <v>462</v>
      </c>
      <c r="C96">
        <f t="shared" si="1"/>
        <v>128</v>
      </c>
    </row>
    <row r="97" spans="1:3" x14ac:dyDescent="0.25">
      <c r="A97" t="s">
        <v>321</v>
      </c>
      <c r="B97" t="s">
        <v>463</v>
      </c>
      <c r="C97">
        <f t="shared" si="1"/>
        <v>130</v>
      </c>
    </row>
    <row r="98" spans="1:3" x14ac:dyDescent="0.25">
      <c r="A98" t="s">
        <v>323</v>
      </c>
      <c r="B98" t="s">
        <v>466</v>
      </c>
      <c r="C98">
        <f t="shared" si="1"/>
        <v>131</v>
      </c>
    </row>
    <row r="99" spans="1:3" x14ac:dyDescent="0.25">
      <c r="A99" t="s">
        <v>327</v>
      </c>
      <c r="B99" t="s">
        <v>467</v>
      </c>
      <c r="C99">
        <f t="shared" si="1"/>
        <v>133</v>
      </c>
    </row>
    <row r="100" spans="1:3" x14ac:dyDescent="0.25">
      <c r="A100" t="s">
        <v>329</v>
      </c>
      <c r="B100" t="s">
        <v>471</v>
      </c>
      <c r="C100">
        <f t="shared" si="1"/>
        <v>134</v>
      </c>
    </row>
    <row r="101" spans="1:3" x14ac:dyDescent="0.25">
      <c r="A101" t="s">
        <v>333</v>
      </c>
      <c r="B101" t="s">
        <v>472</v>
      </c>
      <c r="C101">
        <f t="shared" si="1"/>
        <v>136</v>
      </c>
    </row>
    <row r="102" spans="1:3" x14ac:dyDescent="0.25">
      <c r="A102" t="s">
        <v>794</v>
      </c>
      <c r="B102" t="s">
        <v>795</v>
      </c>
      <c r="C102">
        <f t="shared" si="1"/>
        <v>137</v>
      </c>
    </row>
    <row r="103" spans="1:3" x14ac:dyDescent="0.25">
      <c r="A103" t="s">
        <v>1222</v>
      </c>
      <c r="B103" t="s">
        <v>1229</v>
      </c>
      <c r="C103">
        <f t="shared" si="1"/>
        <v>138</v>
      </c>
    </row>
    <row r="104" spans="1:3" x14ac:dyDescent="0.25">
      <c r="A104" t="s">
        <v>331</v>
      </c>
      <c r="B104" t="s">
        <v>469</v>
      </c>
      <c r="C104">
        <f t="shared" si="1"/>
        <v>153</v>
      </c>
    </row>
    <row r="105" spans="1:3" x14ac:dyDescent="0.25">
      <c r="A105" t="s">
        <v>368</v>
      </c>
      <c r="B105" t="s">
        <v>470</v>
      </c>
      <c r="C105">
        <f t="shared" si="1"/>
        <v>154</v>
      </c>
    </row>
    <row r="106" spans="1:3" x14ac:dyDescent="0.25">
      <c r="A106" t="s">
        <v>353</v>
      </c>
      <c r="B106" t="s">
        <v>478</v>
      </c>
      <c r="C106">
        <f t="shared" si="1"/>
        <v>208</v>
      </c>
    </row>
    <row r="107" spans="1:3" x14ac:dyDescent="0.25">
      <c r="A107" t="s">
        <v>953</v>
      </c>
      <c r="B107" t="s">
        <v>954</v>
      </c>
      <c r="C107">
        <f t="shared" si="1"/>
        <v>209</v>
      </c>
    </row>
    <row r="108" spans="1:3" x14ac:dyDescent="0.25">
      <c r="A108" t="s">
        <v>356</v>
      </c>
      <c r="B108" t="s">
        <v>477</v>
      </c>
      <c r="C108">
        <f t="shared" si="1"/>
        <v>210</v>
      </c>
    </row>
    <row r="109" spans="1:3" x14ac:dyDescent="0.25">
      <c r="A109" t="s">
        <v>359</v>
      </c>
      <c r="B109" t="s">
        <v>479</v>
      </c>
      <c r="C109">
        <f t="shared" si="1"/>
        <v>212</v>
      </c>
    </row>
    <row r="110" spans="1:3" x14ac:dyDescent="0.25">
      <c r="A110" t="s">
        <v>361</v>
      </c>
      <c r="B110" t="s">
        <v>480</v>
      </c>
      <c r="C110">
        <f t="shared" si="1"/>
        <v>213</v>
      </c>
    </row>
    <row r="111" spans="1:3" x14ac:dyDescent="0.25">
      <c r="A111" t="s">
        <v>364</v>
      </c>
      <c r="B111" t="s">
        <v>481</v>
      </c>
      <c r="C111">
        <f t="shared" si="1"/>
        <v>215</v>
      </c>
    </row>
    <row r="112" spans="1:3" x14ac:dyDescent="0.25">
      <c r="A112" t="s">
        <v>544</v>
      </c>
      <c r="B112" t="s">
        <v>569</v>
      </c>
      <c r="C112">
        <f t="shared" si="1"/>
        <v>223</v>
      </c>
    </row>
    <row r="113" spans="1:3" x14ac:dyDescent="0.25">
      <c r="A113" t="s">
        <v>546</v>
      </c>
      <c r="B113" t="s">
        <v>565</v>
      </c>
      <c r="C113">
        <f t="shared" si="1"/>
        <v>224</v>
      </c>
    </row>
    <row r="114" spans="1:3" x14ac:dyDescent="0.25">
      <c r="A114" s="8" t="s">
        <v>825</v>
      </c>
      <c r="B114" t="s">
        <v>826</v>
      </c>
      <c r="C114">
        <f t="shared" si="1"/>
        <v>225</v>
      </c>
    </row>
    <row r="115" spans="1:3" x14ac:dyDescent="0.25">
      <c r="A115" t="s">
        <v>867</v>
      </c>
      <c r="B115" t="s">
        <v>875</v>
      </c>
      <c r="C115">
        <f t="shared" si="1"/>
        <v>226</v>
      </c>
    </row>
    <row r="116" spans="1:3" x14ac:dyDescent="0.25">
      <c r="A116" t="s">
        <v>535</v>
      </c>
      <c r="B116" t="s">
        <v>568</v>
      </c>
      <c r="C116">
        <f t="shared" si="1"/>
        <v>227</v>
      </c>
    </row>
    <row r="117" spans="1:3" x14ac:dyDescent="0.25">
      <c r="A117" t="s">
        <v>536</v>
      </c>
      <c r="B117" t="s">
        <v>562</v>
      </c>
      <c r="C117">
        <f t="shared" si="1"/>
        <v>228</v>
      </c>
    </row>
    <row r="118" spans="1:3" x14ac:dyDescent="0.25">
      <c r="A118" t="s">
        <v>537</v>
      </c>
      <c r="B118" t="s">
        <v>567</v>
      </c>
      <c r="C118">
        <f t="shared" si="1"/>
        <v>229</v>
      </c>
    </row>
    <row r="119" spans="1:3" x14ac:dyDescent="0.25">
      <c r="A119" t="s">
        <v>537</v>
      </c>
      <c r="B119" t="s">
        <v>567</v>
      </c>
      <c r="C119">
        <f t="shared" si="1"/>
        <v>229</v>
      </c>
    </row>
    <row r="120" spans="1:3" x14ac:dyDescent="0.25">
      <c r="A120" t="s">
        <v>542</v>
      </c>
      <c r="B120" t="s">
        <v>563</v>
      </c>
      <c r="C120">
        <f t="shared" si="1"/>
        <v>230</v>
      </c>
    </row>
    <row r="121" spans="1:3" x14ac:dyDescent="0.25">
      <c r="A121" t="s">
        <v>866</v>
      </c>
      <c r="B121" t="s">
        <v>874</v>
      </c>
      <c r="C121">
        <f t="shared" si="1"/>
        <v>231</v>
      </c>
    </row>
    <row r="122" spans="1:3" x14ac:dyDescent="0.25">
      <c r="A122" t="s">
        <v>889</v>
      </c>
      <c r="B122" t="s">
        <v>891</v>
      </c>
      <c r="C122">
        <f t="shared" si="1"/>
        <v>232</v>
      </c>
    </row>
    <row r="123" spans="1:3" x14ac:dyDescent="0.25">
      <c r="A123" t="s">
        <v>979</v>
      </c>
      <c r="B123" t="s">
        <v>980</v>
      </c>
      <c r="C123">
        <f t="shared" si="1"/>
        <v>233</v>
      </c>
    </row>
    <row r="124" spans="1:3" x14ac:dyDescent="0.25">
      <c r="A124" t="s">
        <v>888</v>
      </c>
      <c r="B124" t="s">
        <v>890</v>
      </c>
      <c r="C124">
        <f t="shared" si="1"/>
        <v>234</v>
      </c>
    </row>
    <row r="125" spans="1:3" x14ac:dyDescent="0.25">
      <c r="A125" t="s">
        <v>977</v>
      </c>
      <c r="B125" t="s">
        <v>978</v>
      </c>
      <c r="C125">
        <f t="shared" si="1"/>
        <v>235</v>
      </c>
    </row>
    <row r="126" spans="1:3" x14ac:dyDescent="0.25">
      <c r="A126" t="s">
        <v>981</v>
      </c>
      <c r="B126" t="s">
        <v>982</v>
      </c>
      <c r="C126">
        <f t="shared" si="1"/>
        <v>236</v>
      </c>
    </row>
    <row r="127" spans="1:3" x14ac:dyDescent="0.25">
      <c r="A127" t="s">
        <v>983</v>
      </c>
      <c r="B127" t="s">
        <v>984</v>
      </c>
      <c r="C127">
        <f t="shared" si="1"/>
        <v>237</v>
      </c>
    </row>
    <row r="128" spans="1:3" x14ac:dyDescent="0.25">
      <c r="A128" t="s">
        <v>1164</v>
      </c>
      <c r="B128" t="s">
        <v>1188</v>
      </c>
      <c r="C128">
        <f t="shared" si="1"/>
        <v>239</v>
      </c>
    </row>
    <row r="129" spans="1:3" x14ac:dyDescent="0.25">
      <c r="A129" t="s">
        <v>319</v>
      </c>
      <c r="B129" t="s">
        <v>461</v>
      </c>
      <c r="C129">
        <f t="shared" si="1"/>
        <v>240</v>
      </c>
    </row>
    <row r="130" spans="1:3" x14ac:dyDescent="0.25">
      <c r="A130" t="s">
        <v>337</v>
      </c>
      <c r="B130" t="s">
        <v>464</v>
      </c>
      <c r="C130">
        <f t="shared" si="1"/>
        <v>242</v>
      </c>
    </row>
    <row r="131" spans="1:3" x14ac:dyDescent="0.25">
      <c r="A131" t="s">
        <v>325</v>
      </c>
      <c r="B131" t="s">
        <v>465</v>
      </c>
      <c r="C131">
        <f t="shared" si="1"/>
        <v>243</v>
      </c>
    </row>
    <row r="132" spans="1:3" x14ac:dyDescent="0.25">
      <c r="A132" t="s">
        <v>340</v>
      </c>
      <c r="B132" t="s">
        <v>468</v>
      </c>
      <c r="C132">
        <f t="shared" si="1"/>
        <v>245</v>
      </c>
    </row>
    <row r="133" spans="1:3" x14ac:dyDescent="0.25">
      <c r="A133" t="s">
        <v>342</v>
      </c>
      <c r="B133" t="s">
        <v>473</v>
      </c>
      <c r="C133">
        <f t="shared" si="1"/>
        <v>246</v>
      </c>
    </row>
    <row r="134" spans="1:3" x14ac:dyDescent="0.25">
      <c r="A134" t="s">
        <v>344</v>
      </c>
      <c r="B134" t="s">
        <v>476</v>
      </c>
      <c r="C134">
        <f t="shared" si="1"/>
        <v>247</v>
      </c>
    </row>
    <row r="135" spans="1:3" x14ac:dyDescent="0.25">
      <c r="A135" t="s">
        <v>347</v>
      </c>
      <c r="B135" t="s">
        <v>475</v>
      </c>
      <c r="C135">
        <f t="shared" ref="C135:C140" si="2">HEX2DEC(MID(B135,3,(LEN(B135)-2)))</f>
        <v>252</v>
      </c>
    </row>
    <row r="136" spans="1:3" x14ac:dyDescent="0.25">
      <c r="A136" t="s">
        <v>350</v>
      </c>
      <c r="B136" t="s">
        <v>474</v>
      </c>
      <c r="C136">
        <f t="shared" si="2"/>
        <v>254</v>
      </c>
    </row>
    <row r="137" spans="1:3" x14ac:dyDescent="0.25">
      <c r="A137" s="15" t="s">
        <v>1239</v>
      </c>
      <c r="B137" s="15" t="s">
        <v>1323</v>
      </c>
      <c r="C137" s="15">
        <f t="shared" si="2"/>
        <v>214</v>
      </c>
    </row>
    <row r="138" spans="1:3" x14ac:dyDescent="0.25">
      <c r="A138" s="15" t="s">
        <v>1288</v>
      </c>
      <c r="B138" s="15" t="s">
        <v>1324</v>
      </c>
      <c r="C138" s="15">
        <f t="shared" si="2"/>
        <v>121</v>
      </c>
    </row>
    <row r="139" spans="1:3" x14ac:dyDescent="0.25">
      <c r="A139" s="15" t="s">
        <v>1273</v>
      </c>
      <c r="B139" s="15" t="s">
        <v>1327</v>
      </c>
      <c r="C139" s="15">
        <f t="shared" si="2"/>
        <v>219</v>
      </c>
    </row>
    <row r="140" spans="1:3" x14ac:dyDescent="0.25">
      <c r="A140" s="15" t="s">
        <v>1284</v>
      </c>
      <c r="B140" s="15" t="s">
        <v>1325</v>
      </c>
      <c r="C140" s="15">
        <f t="shared" si="2"/>
        <v>217</v>
      </c>
    </row>
  </sheetData>
  <autoFilter ref="A1:C137" xr:uid="{00000000-0001-0000-0800-000000000000}">
    <sortState xmlns:xlrd2="http://schemas.microsoft.com/office/spreadsheetml/2017/richdata2" ref="A2:C137">
      <sortCondition ref="C1:C137"/>
    </sortState>
  </autoFilter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5586-FD0F-4644-83ED-DC99EE2A9B5C}">
  <dimension ref="A1:C25"/>
  <sheetViews>
    <sheetView workbookViewId="0">
      <selection activeCell="A24" sqref="A24"/>
    </sheetView>
  </sheetViews>
  <sheetFormatPr defaultRowHeight="15" x14ac:dyDescent="0.25"/>
  <cols>
    <col min="1" max="1" width="18.7109375" bestFit="1" customWidth="1"/>
    <col min="2" max="2" width="10.5703125" bestFit="1" customWidth="1"/>
    <col min="3" max="3" width="15.140625" bestFit="1" customWidth="1"/>
  </cols>
  <sheetData>
    <row r="1" spans="1:3" x14ac:dyDescent="0.25">
      <c r="A1" s="1" t="s">
        <v>383</v>
      </c>
      <c r="B1" s="1" t="s">
        <v>384</v>
      </c>
      <c r="C1" s="1" t="s">
        <v>385</v>
      </c>
    </row>
    <row r="2" spans="1:3" x14ac:dyDescent="0.25">
      <c r="A2" t="s">
        <v>904</v>
      </c>
      <c r="B2" s="11" t="s">
        <v>387</v>
      </c>
      <c r="C2">
        <v>0</v>
      </c>
    </row>
    <row r="3" spans="1:3" x14ac:dyDescent="0.25">
      <c r="A3" t="s">
        <v>903</v>
      </c>
      <c r="B3" s="11" t="s">
        <v>858</v>
      </c>
      <c r="C3">
        <v>1</v>
      </c>
    </row>
    <row r="4" spans="1:3" x14ac:dyDescent="0.25">
      <c r="A4" t="s">
        <v>905</v>
      </c>
      <c r="B4" s="11" t="s">
        <v>860</v>
      </c>
      <c r="C4">
        <v>2</v>
      </c>
    </row>
    <row r="5" spans="1:3" x14ac:dyDescent="0.25">
      <c r="A5" t="s">
        <v>906</v>
      </c>
      <c r="B5" s="11" t="s">
        <v>388</v>
      </c>
      <c r="C5">
        <v>3</v>
      </c>
    </row>
    <row r="6" spans="1:3" x14ac:dyDescent="0.25">
      <c r="A6" t="s">
        <v>937</v>
      </c>
      <c r="B6" s="18" t="s">
        <v>408</v>
      </c>
      <c r="C6" s="18">
        <v>25</v>
      </c>
    </row>
    <row r="7" spans="1:3" x14ac:dyDescent="0.25">
      <c r="A7" t="s">
        <v>955</v>
      </c>
      <c r="B7" s="20" t="s">
        <v>938</v>
      </c>
      <c r="C7" s="20">
        <v>4</v>
      </c>
    </row>
    <row r="8" spans="1:3" x14ac:dyDescent="0.25">
      <c r="A8" t="s">
        <v>947</v>
      </c>
      <c r="B8" s="11" t="s">
        <v>948</v>
      </c>
      <c r="C8">
        <v>6</v>
      </c>
    </row>
    <row r="9" spans="1:3" x14ac:dyDescent="0.25">
      <c r="A9" t="s">
        <v>993</v>
      </c>
      <c r="B9" s="20" t="s">
        <v>878</v>
      </c>
      <c r="C9" s="21">
        <v>9</v>
      </c>
    </row>
    <row r="10" spans="1:3" x14ac:dyDescent="0.25">
      <c r="A10" t="s">
        <v>1044</v>
      </c>
      <c r="B10" s="18" t="s">
        <v>390</v>
      </c>
      <c r="C10" s="15">
        <v>7</v>
      </c>
    </row>
    <row r="11" spans="1:3" x14ac:dyDescent="0.25">
      <c r="A11" t="s">
        <v>1045</v>
      </c>
      <c r="B11" s="18" t="s">
        <v>392</v>
      </c>
      <c r="C11" s="15">
        <v>8</v>
      </c>
    </row>
    <row r="12" spans="1:3" x14ac:dyDescent="0.25">
      <c r="A12" t="s">
        <v>1046</v>
      </c>
      <c r="B12" s="20" t="s">
        <v>1049</v>
      </c>
      <c r="C12" s="21">
        <v>11</v>
      </c>
    </row>
    <row r="13" spans="1:3" x14ac:dyDescent="0.25">
      <c r="A13" t="s">
        <v>1048</v>
      </c>
      <c r="B13" s="18" t="s">
        <v>394</v>
      </c>
      <c r="C13" s="15">
        <v>17</v>
      </c>
    </row>
    <row r="14" spans="1:3" x14ac:dyDescent="0.25">
      <c r="A14" t="s">
        <v>1050</v>
      </c>
      <c r="B14" s="20" t="s">
        <v>1110</v>
      </c>
      <c r="C14" s="21">
        <v>14</v>
      </c>
    </row>
    <row r="15" spans="1:3" x14ac:dyDescent="0.25">
      <c r="A15" t="s">
        <v>1063</v>
      </c>
      <c r="B15" s="18" t="s">
        <v>1047</v>
      </c>
      <c r="C15" s="15">
        <v>10</v>
      </c>
    </row>
    <row r="16" spans="1:3" x14ac:dyDescent="0.25">
      <c r="A16" t="s">
        <v>1109</v>
      </c>
      <c r="B16" s="18" t="s">
        <v>1051</v>
      </c>
      <c r="C16" s="15">
        <v>12</v>
      </c>
    </row>
    <row r="17" spans="1:3" x14ac:dyDescent="0.25">
      <c r="A17" t="s">
        <v>1126</v>
      </c>
      <c r="B17" s="18" t="s">
        <v>956</v>
      </c>
      <c r="C17" s="15">
        <v>5</v>
      </c>
    </row>
    <row r="18" spans="1:3" x14ac:dyDescent="0.25">
      <c r="A18" t="s">
        <v>1134</v>
      </c>
      <c r="B18" s="18" t="s">
        <v>1062</v>
      </c>
      <c r="C18" s="15">
        <v>13</v>
      </c>
    </row>
    <row r="19" spans="1:3" x14ac:dyDescent="0.25">
      <c r="A19" t="s">
        <v>1135</v>
      </c>
      <c r="B19" s="20" t="s">
        <v>1111</v>
      </c>
      <c r="C19" s="21">
        <v>15</v>
      </c>
    </row>
    <row r="20" spans="1:3" x14ac:dyDescent="0.25">
      <c r="A20" t="s">
        <v>1165</v>
      </c>
      <c r="B20" s="18" t="s">
        <v>404</v>
      </c>
      <c r="C20" s="15">
        <v>19</v>
      </c>
    </row>
    <row r="21" spans="1:3" x14ac:dyDescent="0.25">
      <c r="A21" t="s">
        <v>1166</v>
      </c>
      <c r="B21" s="18" t="s">
        <v>407</v>
      </c>
      <c r="C21" s="15">
        <v>20</v>
      </c>
    </row>
    <row r="22" spans="1:3" x14ac:dyDescent="0.25">
      <c r="A22" t="s">
        <v>1205</v>
      </c>
      <c r="B22" s="18" t="s">
        <v>393</v>
      </c>
      <c r="C22" s="15">
        <v>16</v>
      </c>
    </row>
    <row r="23" spans="1:3" x14ac:dyDescent="0.25">
      <c r="A23" t="s">
        <v>1206</v>
      </c>
      <c r="B23" s="11" t="s">
        <v>1215</v>
      </c>
      <c r="C23">
        <v>21</v>
      </c>
    </row>
    <row r="24" spans="1:3" x14ac:dyDescent="0.25">
      <c r="A24" t="s">
        <v>1221</v>
      </c>
      <c r="B24" s="18" t="s">
        <v>777</v>
      </c>
      <c r="C24" s="15">
        <v>24</v>
      </c>
    </row>
    <row r="25" spans="1:3" x14ac:dyDescent="0.25">
      <c r="A25" t="s">
        <v>1236</v>
      </c>
      <c r="B25" s="18" t="s">
        <v>406</v>
      </c>
      <c r="C25" s="15">
        <v>22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9"/>
  <sheetViews>
    <sheetView tabSelected="1" workbookViewId="0">
      <pane ySplit="1" topLeftCell="A200" activePane="bottomLeft" state="frozen"/>
      <selection pane="bottomLeft" activeCell="I229" sqref="I229"/>
    </sheetView>
  </sheetViews>
  <sheetFormatPr defaultRowHeight="15" x14ac:dyDescent="0.25"/>
  <cols>
    <col min="1" max="1" width="54.7109375" customWidth="1"/>
    <col min="2" max="2" width="19.7109375" bestFit="1" customWidth="1"/>
    <col min="3" max="3" width="20.42578125" bestFit="1" customWidth="1"/>
    <col min="4" max="4" width="12.140625" customWidth="1"/>
    <col min="5" max="5" width="14.85546875" customWidth="1"/>
    <col min="6" max="6" width="15.28515625" customWidth="1"/>
    <col min="7" max="7" width="20" customWidth="1"/>
    <col min="8" max="8" width="13" customWidth="1"/>
    <col min="9" max="9" width="34.7109375" customWidth="1"/>
    <col min="10" max="10" width="17" customWidth="1"/>
    <col min="11" max="11" width="18.85546875" bestFit="1" customWidth="1"/>
  </cols>
  <sheetData>
    <row r="1" spans="1:10" s="1" customFormat="1" x14ac:dyDescent="0.25">
      <c r="A1" s="1" t="s">
        <v>103</v>
      </c>
      <c r="B1" s="1" t="s">
        <v>104</v>
      </c>
      <c r="C1" s="1" t="s">
        <v>901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902</v>
      </c>
      <c r="I1" s="1" t="s">
        <v>109</v>
      </c>
      <c r="J1" s="1" t="s">
        <v>1247</v>
      </c>
    </row>
    <row r="2" spans="1:10" x14ac:dyDescent="0.25">
      <c r="A2" t="s">
        <v>110</v>
      </c>
      <c r="B2" t="s">
        <v>111</v>
      </c>
      <c r="C2" t="s">
        <v>904</v>
      </c>
      <c r="D2" t="s">
        <v>597</v>
      </c>
      <c r="E2" t="s">
        <v>597</v>
      </c>
      <c r="F2">
        <v>40</v>
      </c>
      <c r="G2">
        <v>3</v>
      </c>
      <c r="H2">
        <v>0</v>
      </c>
      <c r="I2">
        <v>0</v>
      </c>
      <c r="J2">
        <v>0</v>
      </c>
    </row>
    <row r="3" spans="1:10" x14ac:dyDescent="0.25">
      <c r="A3" s="7" t="s">
        <v>797</v>
      </c>
      <c r="B3" t="s">
        <v>584</v>
      </c>
      <c r="C3" t="s">
        <v>905</v>
      </c>
      <c r="D3" t="s">
        <v>827</v>
      </c>
      <c r="E3" t="s">
        <v>827</v>
      </c>
      <c r="F3">
        <v>40</v>
      </c>
      <c r="G3">
        <v>3</v>
      </c>
      <c r="H3">
        <v>5</v>
      </c>
      <c r="I3">
        <v>0</v>
      </c>
      <c r="J3">
        <v>0</v>
      </c>
    </row>
    <row r="4" spans="1:10" x14ac:dyDescent="0.25">
      <c r="A4" t="s">
        <v>112</v>
      </c>
      <c r="B4" t="s">
        <v>1163</v>
      </c>
      <c r="C4" t="s">
        <v>904</v>
      </c>
      <c r="D4" t="s">
        <v>598</v>
      </c>
      <c r="E4" t="s">
        <v>598</v>
      </c>
      <c r="F4">
        <v>40</v>
      </c>
      <c r="G4">
        <v>3</v>
      </c>
      <c r="H4">
        <v>0</v>
      </c>
      <c r="I4">
        <v>0</v>
      </c>
      <c r="J4">
        <v>0</v>
      </c>
    </row>
    <row r="5" spans="1:10" x14ac:dyDescent="0.25">
      <c r="A5" t="s">
        <v>113</v>
      </c>
      <c r="B5" t="s">
        <v>114</v>
      </c>
      <c r="C5" t="s">
        <v>904</v>
      </c>
      <c r="D5" t="s">
        <v>599</v>
      </c>
      <c r="E5" t="s">
        <v>599</v>
      </c>
      <c r="F5">
        <v>40</v>
      </c>
      <c r="G5">
        <v>3</v>
      </c>
      <c r="H5">
        <v>0</v>
      </c>
      <c r="I5">
        <v>0</v>
      </c>
      <c r="J5">
        <v>0</v>
      </c>
    </row>
    <row r="6" spans="1:10" x14ac:dyDescent="0.25">
      <c r="A6" t="s">
        <v>115</v>
      </c>
      <c r="B6" t="s">
        <v>116</v>
      </c>
      <c r="C6" s="15" t="s">
        <v>1221</v>
      </c>
      <c r="D6" t="s">
        <v>600</v>
      </c>
      <c r="E6" t="s">
        <v>600</v>
      </c>
      <c r="F6">
        <v>40</v>
      </c>
      <c r="G6">
        <v>3</v>
      </c>
      <c r="H6">
        <v>5</v>
      </c>
      <c r="I6">
        <v>0</v>
      </c>
      <c r="J6">
        <v>8</v>
      </c>
    </row>
    <row r="7" spans="1:10" x14ac:dyDescent="0.25">
      <c r="A7" s="7" t="s">
        <v>798</v>
      </c>
      <c r="B7" t="s">
        <v>584</v>
      </c>
      <c r="C7" t="s">
        <v>905</v>
      </c>
      <c r="D7" t="s">
        <v>828</v>
      </c>
      <c r="E7" t="s">
        <v>828</v>
      </c>
      <c r="F7">
        <v>40</v>
      </c>
      <c r="G7">
        <v>3</v>
      </c>
      <c r="H7">
        <v>5</v>
      </c>
      <c r="I7">
        <v>0</v>
      </c>
      <c r="J7">
        <v>0</v>
      </c>
    </row>
    <row r="8" spans="1:10" x14ac:dyDescent="0.25">
      <c r="A8" s="15" t="s">
        <v>1248</v>
      </c>
      <c r="B8" s="15" t="s">
        <v>584</v>
      </c>
      <c r="C8" s="15" t="s">
        <v>904</v>
      </c>
      <c r="D8" s="15" t="s">
        <v>1249</v>
      </c>
      <c r="E8" s="15" t="s">
        <v>1249</v>
      </c>
      <c r="F8" s="15">
        <v>40</v>
      </c>
      <c r="G8" s="15">
        <v>3</v>
      </c>
      <c r="H8" s="15">
        <v>0</v>
      </c>
      <c r="I8" s="15">
        <v>0</v>
      </c>
      <c r="J8" s="15">
        <v>0</v>
      </c>
    </row>
    <row r="9" spans="1:10" x14ac:dyDescent="0.25">
      <c r="A9" t="s">
        <v>117</v>
      </c>
      <c r="B9" t="s">
        <v>111</v>
      </c>
      <c r="C9" t="s">
        <v>904</v>
      </c>
      <c r="D9" t="s">
        <v>601</v>
      </c>
      <c r="E9" t="s">
        <v>601</v>
      </c>
      <c r="F9">
        <v>40</v>
      </c>
      <c r="G9">
        <v>3</v>
      </c>
      <c r="H9">
        <v>0</v>
      </c>
      <c r="I9">
        <v>0</v>
      </c>
      <c r="J9">
        <v>0</v>
      </c>
    </row>
    <row r="10" spans="1:10" x14ac:dyDescent="0.25">
      <c r="A10" s="15" t="s">
        <v>1250</v>
      </c>
      <c r="B10" s="15" t="s">
        <v>210</v>
      </c>
      <c r="C10" s="15" t="s">
        <v>904</v>
      </c>
      <c r="D10" s="15" t="s">
        <v>1251</v>
      </c>
      <c r="E10" s="15" t="s">
        <v>1251</v>
      </c>
      <c r="F10" s="15">
        <v>40</v>
      </c>
      <c r="G10" s="15">
        <v>0</v>
      </c>
      <c r="H10" s="15">
        <v>0</v>
      </c>
      <c r="I10" s="15">
        <v>0</v>
      </c>
      <c r="J10" s="15">
        <v>0</v>
      </c>
    </row>
    <row r="11" spans="1:10" x14ac:dyDescent="0.25">
      <c r="A11" s="7" t="s">
        <v>799</v>
      </c>
      <c r="B11" t="s">
        <v>977</v>
      </c>
      <c r="C11" t="s">
        <v>903</v>
      </c>
      <c r="D11" t="s">
        <v>829</v>
      </c>
      <c r="E11" t="s">
        <v>829</v>
      </c>
      <c r="F11">
        <v>40</v>
      </c>
      <c r="G11">
        <v>3</v>
      </c>
      <c r="H11">
        <v>5</v>
      </c>
      <c r="I11">
        <v>0</v>
      </c>
      <c r="J11">
        <v>0</v>
      </c>
    </row>
    <row r="12" spans="1:10" x14ac:dyDescent="0.25">
      <c r="A12" t="s">
        <v>118</v>
      </c>
      <c r="B12" t="s">
        <v>866</v>
      </c>
      <c r="C12" s="14" t="s">
        <v>1126</v>
      </c>
      <c r="D12" t="s">
        <v>602</v>
      </c>
      <c r="E12" t="s">
        <v>602</v>
      </c>
      <c r="F12">
        <v>40</v>
      </c>
      <c r="G12">
        <v>3</v>
      </c>
      <c r="H12">
        <v>5</v>
      </c>
      <c r="I12">
        <v>0</v>
      </c>
      <c r="J12">
        <v>0</v>
      </c>
    </row>
    <row r="13" spans="1:10" x14ac:dyDescent="0.25">
      <c r="A13" t="s">
        <v>122</v>
      </c>
      <c r="B13" t="s">
        <v>208</v>
      </c>
      <c r="C13" t="s">
        <v>905</v>
      </c>
      <c r="D13" t="s">
        <v>603</v>
      </c>
      <c r="E13" t="s">
        <v>603</v>
      </c>
      <c r="F13">
        <v>40</v>
      </c>
      <c r="G13">
        <v>3</v>
      </c>
      <c r="H13">
        <v>5</v>
      </c>
      <c r="I13">
        <v>0</v>
      </c>
      <c r="J13">
        <v>0</v>
      </c>
    </row>
    <row r="14" spans="1:10" x14ac:dyDescent="0.25">
      <c r="A14" t="s">
        <v>124</v>
      </c>
      <c r="B14" t="s">
        <v>111</v>
      </c>
      <c r="C14" t="s">
        <v>903</v>
      </c>
      <c r="D14" t="s">
        <v>604</v>
      </c>
      <c r="E14" t="s">
        <v>604</v>
      </c>
      <c r="F14">
        <v>40</v>
      </c>
      <c r="G14">
        <v>3</v>
      </c>
      <c r="H14">
        <v>5</v>
      </c>
      <c r="I14">
        <v>0</v>
      </c>
      <c r="J14">
        <v>0</v>
      </c>
    </row>
    <row r="15" spans="1:10" s="14" customFormat="1" x14ac:dyDescent="0.25">
      <c r="A15" s="14" t="s">
        <v>125</v>
      </c>
      <c r="B15" s="14" t="s">
        <v>1020</v>
      </c>
      <c r="C15" s="14" t="s">
        <v>1109</v>
      </c>
      <c r="D15" s="14" t="s">
        <v>605</v>
      </c>
      <c r="E15" s="14" t="s">
        <v>605</v>
      </c>
      <c r="F15" s="14">
        <v>40</v>
      </c>
      <c r="G15" s="14">
        <v>3</v>
      </c>
      <c r="H15" s="14">
        <v>5</v>
      </c>
      <c r="I15" s="14">
        <v>0</v>
      </c>
      <c r="J15" s="14">
        <v>0</v>
      </c>
    </row>
    <row r="16" spans="1:10" x14ac:dyDescent="0.25">
      <c r="A16" t="s">
        <v>128</v>
      </c>
      <c r="B16" t="s">
        <v>584</v>
      </c>
      <c r="C16" t="s">
        <v>904</v>
      </c>
      <c r="D16" t="s">
        <v>606</v>
      </c>
      <c r="E16" t="s">
        <v>606</v>
      </c>
      <c r="F16">
        <v>40</v>
      </c>
      <c r="G16">
        <v>3</v>
      </c>
      <c r="H16">
        <v>0</v>
      </c>
      <c r="I16">
        <v>0</v>
      </c>
      <c r="J16">
        <v>0</v>
      </c>
    </row>
    <row r="17" spans="1:10" x14ac:dyDescent="0.25">
      <c r="A17" t="s">
        <v>129</v>
      </c>
      <c r="B17" t="s">
        <v>265</v>
      </c>
      <c r="C17" t="s">
        <v>905</v>
      </c>
      <c r="D17" t="s">
        <v>607</v>
      </c>
      <c r="E17" t="s">
        <v>607</v>
      </c>
      <c r="F17">
        <v>40</v>
      </c>
      <c r="G17">
        <v>3</v>
      </c>
      <c r="H17">
        <v>5</v>
      </c>
      <c r="I17">
        <v>0</v>
      </c>
      <c r="J17">
        <v>0</v>
      </c>
    </row>
    <row r="18" spans="1:10" x14ac:dyDescent="0.25">
      <c r="A18" t="s">
        <v>130</v>
      </c>
      <c r="B18" t="s">
        <v>977</v>
      </c>
      <c r="C18" t="s">
        <v>903</v>
      </c>
      <c r="D18" t="s">
        <v>608</v>
      </c>
      <c r="E18" t="s">
        <v>608</v>
      </c>
      <c r="F18">
        <v>40</v>
      </c>
      <c r="G18">
        <v>3</v>
      </c>
      <c r="H18">
        <v>5</v>
      </c>
      <c r="I18">
        <v>0</v>
      </c>
      <c r="J18">
        <v>0</v>
      </c>
    </row>
    <row r="19" spans="1:10" x14ac:dyDescent="0.25">
      <c r="A19" t="s">
        <v>131</v>
      </c>
      <c r="B19" t="s">
        <v>132</v>
      </c>
      <c r="C19" t="s">
        <v>905</v>
      </c>
      <c r="D19" t="s">
        <v>609</v>
      </c>
      <c r="E19" t="s">
        <v>609</v>
      </c>
      <c r="F19">
        <v>40</v>
      </c>
      <c r="G19">
        <v>3</v>
      </c>
      <c r="H19">
        <v>5</v>
      </c>
      <c r="I19">
        <v>0</v>
      </c>
      <c r="J19">
        <v>0</v>
      </c>
    </row>
    <row r="20" spans="1:10" x14ac:dyDescent="0.25">
      <c r="A20" t="s">
        <v>133</v>
      </c>
      <c r="B20" t="s">
        <v>134</v>
      </c>
      <c r="C20" t="s">
        <v>904</v>
      </c>
      <c r="D20" t="s">
        <v>610</v>
      </c>
      <c r="E20" t="s">
        <v>610</v>
      </c>
      <c r="F20">
        <v>40</v>
      </c>
      <c r="G20">
        <v>3</v>
      </c>
      <c r="H20">
        <v>0</v>
      </c>
      <c r="I20">
        <v>0</v>
      </c>
      <c r="J20">
        <v>0</v>
      </c>
    </row>
    <row r="21" spans="1:10" x14ac:dyDescent="0.25">
      <c r="A21" t="s">
        <v>135</v>
      </c>
      <c r="B21" t="s">
        <v>136</v>
      </c>
      <c r="C21" t="s">
        <v>904</v>
      </c>
      <c r="D21" t="s">
        <v>611</v>
      </c>
      <c r="E21" t="s">
        <v>611</v>
      </c>
      <c r="F21">
        <v>40</v>
      </c>
      <c r="G21">
        <v>3</v>
      </c>
      <c r="H21">
        <v>0</v>
      </c>
      <c r="I21">
        <v>0</v>
      </c>
      <c r="J21">
        <v>0</v>
      </c>
    </row>
    <row r="22" spans="1:10" x14ac:dyDescent="0.25">
      <c r="A22" t="s">
        <v>137</v>
      </c>
      <c r="B22" t="s">
        <v>111</v>
      </c>
      <c r="C22" t="s">
        <v>904</v>
      </c>
      <c r="D22" t="s">
        <v>612</v>
      </c>
      <c r="E22" t="s">
        <v>612</v>
      </c>
      <c r="F22">
        <v>40</v>
      </c>
      <c r="G22">
        <v>3</v>
      </c>
      <c r="H22">
        <v>0</v>
      </c>
      <c r="I22" s="15" t="s">
        <v>1203</v>
      </c>
      <c r="J22">
        <v>0</v>
      </c>
    </row>
    <row r="23" spans="1:10" x14ac:dyDescent="0.25">
      <c r="A23" t="s">
        <v>138</v>
      </c>
      <c r="B23" t="s">
        <v>584</v>
      </c>
      <c r="C23" t="s">
        <v>905</v>
      </c>
      <c r="D23" t="s">
        <v>613</v>
      </c>
      <c r="E23" t="s">
        <v>613</v>
      </c>
      <c r="F23">
        <v>40</v>
      </c>
      <c r="G23">
        <v>3</v>
      </c>
      <c r="H23">
        <v>5</v>
      </c>
      <c r="I23">
        <v>0</v>
      </c>
      <c r="J23">
        <v>0</v>
      </c>
    </row>
    <row r="24" spans="1:10" x14ac:dyDescent="0.25">
      <c r="A24" t="s">
        <v>140</v>
      </c>
      <c r="B24" t="s">
        <v>265</v>
      </c>
      <c r="C24" t="s">
        <v>904</v>
      </c>
      <c r="D24" t="s">
        <v>614</v>
      </c>
      <c r="E24" t="s">
        <v>614</v>
      </c>
      <c r="F24">
        <v>40</v>
      </c>
      <c r="G24">
        <v>3</v>
      </c>
      <c r="H24">
        <v>0</v>
      </c>
      <c r="I24">
        <v>0</v>
      </c>
      <c r="J24">
        <v>0</v>
      </c>
    </row>
    <row r="25" spans="1:10" x14ac:dyDescent="0.25">
      <c r="A25" s="15" t="s">
        <v>1252</v>
      </c>
      <c r="B25" s="15" t="s">
        <v>584</v>
      </c>
      <c r="C25" s="15" t="s">
        <v>904</v>
      </c>
      <c r="D25" s="15" t="s">
        <v>1253</v>
      </c>
      <c r="E25" s="15" t="s">
        <v>1253</v>
      </c>
      <c r="F25" s="15">
        <v>40</v>
      </c>
      <c r="G25" s="15">
        <v>3</v>
      </c>
      <c r="H25" s="15">
        <v>0</v>
      </c>
      <c r="I25" s="15">
        <v>0</v>
      </c>
      <c r="J25" s="15">
        <v>0</v>
      </c>
    </row>
    <row r="26" spans="1:10" x14ac:dyDescent="0.25">
      <c r="A26" t="s">
        <v>142</v>
      </c>
      <c r="B26" t="s">
        <v>979</v>
      </c>
      <c r="C26" t="s">
        <v>903</v>
      </c>
      <c r="D26" t="s">
        <v>615</v>
      </c>
      <c r="E26" t="s">
        <v>615</v>
      </c>
      <c r="F26">
        <v>40</v>
      </c>
      <c r="G26">
        <v>3</v>
      </c>
      <c r="H26">
        <v>5</v>
      </c>
      <c r="I26">
        <v>0</v>
      </c>
      <c r="J26">
        <v>0</v>
      </c>
    </row>
    <row r="27" spans="1:10" x14ac:dyDescent="0.25">
      <c r="A27" t="s">
        <v>143</v>
      </c>
      <c r="B27" t="s">
        <v>111</v>
      </c>
      <c r="C27" t="s">
        <v>904</v>
      </c>
      <c r="D27" t="s">
        <v>616</v>
      </c>
      <c r="E27" t="s">
        <v>616</v>
      </c>
      <c r="F27">
        <v>40</v>
      </c>
      <c r="G27">
        <v>3</v>
      </c>
      <c r="H27">
        <v>0</v>
      </c>
      <c r="I27">
        <v>0</v>
      </c>
      <c r="J27">
        <v>0</v>
      </c>
    </row>
    <row r="28" spans="1:10" x14ac:dyDescent="0.25">
      <c r="A28" t="s">
        <v>144</v>
      </c>
      <c r="B28" t="s">
        <v>977</v>
      </c>
      <c r="C28" t="s">
        <v>904</v>
      </c>
      <c r="D28" t="s">
        <v>617</v>
      </c>
      <c r="E28" t="s">
        <v>617</v>
      </c>
      <c r="F28">
        <v>40</v>
      </c>
      <c r="G28">
        <v>3</v>
      </c>
      <c r="H28">
        <v>0</v>
      </c>
      <c r="I28">
        <v>0</v>
      </c>
      <c r="J28">
        <v>0</v>
      </c>
    </row>
    <row r="29" spans="1:10" x14ac:dyDescent="0.25">
      <c r="A29" s="15" t="s">
        <v>1254</v>
      </c>
      <c r="B29" s="15" t="s">
        <v>584</v>
      </c>
      <c r="C29" s="15" t="s">
        <v>905</v>
      </c>
      <c r="D29" s="15" t="s">
        <v>1255</v>
      </c>
      <c r="E29" s="15" t="s">
        <v>1255</v>
      </c>
      <c r="F29" s="15">
        <v>40</v>
      </c>
      <c r="G29" s="15">
        <v>3</v>
      </c>
      <c r="H29" s="15">
        <v>5</v>
      </c>
      <c r="I29" s="15">
        <v>0</v>
      </c>
      <c r="J29" s="15">
        <v>0</v>
      </c>
    </row>
    <row r="30" spans="1:10" x14ac:dyDescent="0.25">
      <c r="A30" t="s">
        <v>146</v>
      </c>
      <c r="B30" t="s">
        <v>1163</v>
      </c>
      <c r="C30" t="s">
        <v>904</v>
      </c>
      <c r="D30" t="s">
        <v>618</v>
      </c>
      <c r="E30" t="s">
        <v>618</v>
      </c>
      <c r="F30">
        <v>40</v>
      </c>
      <c r="G30">
        <v>3</v>
      </c>
      <c r="H30">
        <v>0</v>
      </c>
      <c r="I30">
        <v>0</v>
      </c>
      <c r="J30">
        <v>0</v>
      </c>
    </row>
    <row r="31" spans="1:10" s="14" customFormat="1" x14ac:dyDescent="0.25">
      <c r="A31" s="14" t="s">
        <v>1113</v>
      </c>
      <c r="B31" t="s">
        <v>1163</v>
      </c>
      <c r="C31" s="14" t="s">
        <v>904</v>
      </c>
      <c r="D31" s="14" t="s">
        <v>1114</v>
      </c>
      <c r="E31" s="14" t="s">
        <v>1114</v>
      </c>
      <c r="F31" s="14">
        <v>40</v>
      </c>
      <c r="G31" s="14">
        <v>3</v>
      </c>
      <c r="H31" s="14">
        <v>0</v>
      </c>
      <c r="I31" s="14">
        <v>0</v>
      </c>
      <c r="J31" s="14">
        <v>0</v>
      </c>
    </row>
    <row r="32" spans="1:10" s="14" customFormat="1" x14ac:dyDescent="0.25">
      <c r="A32" s="16" t="s">
        <v>1256</v>
      </c>
      <c r="B32" s="15" t="s">
        <v>584</v>
      </c>
      <c r="C32" s="15" t="s">
        <v>905</v>
      </c>
      <c r="D32" s="16" t="s">
        <v>1257</v>
      </c>
      <c r="E32" s="16" t="s">
        <v>1257</v>
      </c>
      <c r="F32" s="16">
        <v>40</v>
      </c>
      <c r="G32" s="16">
        <v>3</v>
      </c>
      <c r="H32" s="16">
        <v>5</v>
      </c>
      <c r="I32" s="16">
        <v>0</v>
      </c>
      <c r="J32" s="16">
        <v>0</v>
      </c>
    </row>
    <row r="33" spans="1:10" x14ac:dyDescent="0.25">
      <c r="A33" t="s">
        <v>147</v>
      </c>
      <c r="B33" t="s">
        <v>983</v>
      </c>
      <c r="C33" t="s">
        <v>1044</v>
      </c>
      <c r="D33" t="s">
        <v>619</v>
      </c>
      <c r="E33" t="s">
        <v>619</v>
      </c>
      <c r="F33">
        <v>40</v>
      </c>
      <c r="G33">
        <v>3</v>
      </c>
      <c r="H33">
        <v>5</v>
      </c>
      <c r="I33">
        <v>0</v>
      </c>
      <c r="J33">
        <v>0</v>
      </c>
    </row>
    <row r="34" spans="1:10" x14ac:dyDescent="0.25">
      <c r="A34" s="15" t="s">
        <v>1258</v>
      </c>
      <c r="B34" s="15" t="s">
        <v>1112</v>
      </c>
      <c r="C34" s="15" t="s">
        <v>1109</v>
      </c>
      <c r="D34" s="15" t="s">
        <v>1259</v>
      </c>
      <c r="E34" s="15" t="s">
        <v>1259</v>
      </c>
      <c r="F34" s="15">
        <v>40</v>
      </c>
      <c r="G34" s="15">
        <v>3</v>
      </c>
      <c r="H34" s="15">
        <v>5</v>
      </c>
      <c r="I34" s="15">
        <v>0</v>
      </c>
      <c r="J34" s="15">
        <v>0</v>
      </c>
    </row>
    <row r="35" spans="1:10" x14ac:dyDescent="0.25">
      <c r="A35" t="s">
        <v>148</v>
      </c>
      <c r="B35" t="s">
        <v>977</v>
      </c>
      <c r="C35" t="s">
        <v>904</v>
      </c>
      <c r="D35" t="s">
        <v>620</v>
      </c>
      <c r="E35" t="s">
        <v>620</v>
      </c>
      <c r="F35">
        <v>40</v>
      </c>
      <c r="G35">
        <v>3</v>
      </c>
      <c r="H35">
        <v>0</v>
      </c>
      <c r="I35">
        <v>0</v>
      </c>
      <c r="J35">
        <v>0</v>
      </c>
    </row>
    <row r="36" spans="1:10" x14ac:dyDescent="0.25">
      <c r="A36" t="s">
        <v>150</v>
      </c>
      <c r="B36" t="s">
        <v>584</v>
      </c>
      <c r="C36" t="s">
        <v>905</v>
      </c>
      <c r="D36" t="s">
        <v>621</v>
      </c>
      <c r="E36" t="s">
        <v>621</v>
      </c>
      <c r="F36">
        <v>40</v>
      </c>
      <c r="G36">
        <v>3</v>
      </c>
      <c r="H36">
        <v>5</v>
      </c>
      <c r="I36">
        <v>0</v>
      </c>
      <c r="J36">
        <v>0</v>
      </c>
    </row>
    <row r="37" spans="1:10" x14ac:dyDescent="0.25">
      <c r="A37" t="s">
        <v>151</v>
      </c>
      <c r="B37" t="s">
        <v>977</v>
      </c>
      <c r="C37" t="s">
        <v>905</v>
      </c>
      <c r="D37" t="s">
        <v>622</v>
      </c>
      <c r="E37" t="s">
        <v>622</v>
      </c>
      <c r="F37">
        <v>40</v>
      </c>
      <c r="G37">
        <v>3</v>
      </c>
      <c r="H37">
        <v>0</v>
      </c>
      <c r="I37">
        <v>0</v>
      </c>
      <c r="J37">
        <v>0</v>
      </c>
    </row>
    <row r="38" spans="1:10" s="14" customFormat="1" x14ac:dyDescent="0.25">
      <c r="A38" s="14" t="s">
        <v>1115</v>
      </c>
      <c r="B38" t="s">
        <v>1163</v>
      </c>
      <c r="C38" s="14" t="s">
        <v>904</v>
      </c>
      <c r="D38" s="14" t="s">
        <v>1116</v>
      </c>
      <c r="E38" s="14" t="s">
        <v>1116</v>
      </c>
      <c r="F38" s="14">
        <v>40</v>
      </c>
      <c r="G38" s="14">
        <v>3</v>
      </c>
      <c r="H38" s="14">
        <v>0</v>
      </c>
      <c r="I38" s="14">
        <v>0</v>
      </c>
      <c r="J38" s="14">
        <v>0</v>
      </c>
    </row>
    <row r="39" spans="1:10" s="14" customFormat="1" x14ac:dyDescent="0.25">
      <c r="A39" s="16" t="s">
        <v>1260</v>
      </c>
      <c r="B39" s="15" t="s">
        <v>584</v>
      </c>
      <c r="C39" s="16" t="s">
        <v>904</v>
      </c>
      <c r="D39" s="16" t="s">
        <v>1261</v>
      </c>
      <c r="E39" s="16" t="s">
        <v>1261</v>
      </c>
      <c r="F39" s="16">
        <v>40</v>
      </c>
      <c r="G39" s="16">
        <v>3</v>
      </c>
      <c r="H39" s="16">
        <v>0</v>
      </c>
      <c r="I39" s="16">
        <v>0</v>
      </c>
      <c r="J39" s="16">
        <v>0</v>
      </c>
    </row>
    <row r="40" spans="1:10" x14ac:dyDescent="0.25">
      <c r="A40" t="s">
        <v>152</v>
      </c>
      <c r="B40" t="s">
        <v>111</v>
      </c>
      <c r="C40" t="s">
        <v>904</v>
      </c>
      <c r="D40" t="s">
        <v>623</v>
      </c>
      <c r="E40" t="s">
        <v>623</v>
      </c>
      <c r="F40">
        <v>40</v>
      </c>
      <c r="G40">
        <v>3</v>
      </c>
      <c r="H40">
        <v>0</v>
      </c>
      <c r="I40">
        <v>0</v>
      </c>
      <c r="J40">
        <v>0</v>
      </c>
    </row>
    <row r="41" spans="1:10" x14ac:dyDescent="0.25">
      <c r="A41" s="7" t="s">
        <v>800</v>
      </c>
      <c r="B41" t="s">
        <v>111</v>
      </c>
      <c r="C41" t="s">
        <v>904</v>
      </c>
      <c r="D41" t="s">
        <v>830</v>
      </c>
      <c r="E41" t="s">
        <v>830</v>
      </c>
      <c r="F41">
        <v>40</v>
      </c>
      <c r="G41">
        <v>3</v>
      </c>
      <c r="H41">
        <v>0</v>
      </c>
      <c r="I41">
        <v>0</v>
      </c>
      <c r="J41">
        <v>0</v>
      </c>
    </row>
    <row r="42" spans="1:10" x14ac:dyDescent="0.25">
      <c r="A42" t="s">
        <v>153</v>
      </c>
      <c r="B42" s="15" t="s">
        <v>155</v>
      </c>
      <c r="C42" t="s">
        <v>1205</v>
      </c>
      <c r="D42" t="s">
        <v>624</v>
      </c>
      <c r="E42" t="s">
        <v>624</v>
      </c>
      <c r="F42">
        <v>40</v>
      </c>
      <c r="G42">
        <v>3</v>
      </c>
      <c r="H42">
        <v>5</v>
      </c>
      <c r="I42">
        <v>0</v>
      </c>
      <c r="J42" s="15">
        <v>8</v>
      </c>
    </row>
    <row r="43" spans="1:10" x14ac:dyDescent="0.25">
      <c r="A43" t="s">
        <v>156</v>
      </c>
      <c r="B43" t="s">
        <v>977</v>
      </c>
      <c r="C43" t="s">
        <v>903</v>
      </c>
      <c r="D43" t="s">
        <v>625</v>
      </c>
      <c r="E43" t="s">
        <v>625</v>
      </c>
      <c r="F43">
        <v>40</v>
      </c>
      <c r="G43">
        <v>3</v>
      </c>
      <c r="H43">
        <v>5</v>
      </c>
      <c r="I43">
        <v>0</v>
      </c>
      <c r="J43">
        <v>0</v>
      </c>
    </row>
    <row r="44" spans="1:10" x14ac:dyDescent="0.25">
      <c r="A44" t="s">
        <v>157</v>
      </c>
      <c r="B44" t="s">
        <v>977</v>
      </c>
      <c r="C44" t="s">
        <v>904</v>
      </c>
      <c r="D44" t="s">
        <v>626</v>
      </c>
      <c r="E44" t="s">
        <v>626</v>
      </c>
      <c r="F44">
        <v>40</v>
      </c>
      <c r="G44">
        <v>1</v>
      </c>
      <c r="H44">
        <v>0</v>
      </c>
      <c r="I44">
        <v>0</v>
      </c>
      <c r="J44">
        <v>0</v>
      </c>
    </row>
    <row r="45" spans="1:10" x14ac:dyDescent="0.25">
      <c r="A45" t="s">
        <v>158</v>
      </c>
      <c r="B45" t="s">
        <v>111</v>
      </c>
      <c r="C45" t="s">
        <v>904</v>
      </c>
      <c r="D45" t="s">
        <v>627</v>
      </c>
      <c r="E45" t="s">
        <v>627</v>
      </c>
      <c r="F45">
        <v>40</v>
      </c>
      <c r="G45">
        <v>3</v>
      </c>
      <c r="H45">
        <v>0</v>
      </c>
      <c r="I45">
        <v>0</v>
      </c>
      <c r="J45">
        <v>0</v>
      </c>
    </row>
    <row r="46" spans="1:10" x14ac:dyDescent="0.25">
      <c r="A46" t="s">
        <v>159</v>
      </c>
      <c r="B46" t="s">
        <v>1164</v>
      </c>
      <c r="C46" t="s">
        <v>1165</v>
      </c>
      <c r="D46" t="s">
        <v>628</v>
      </c>
      <c r="E46" t="s">
        <v>628</v>
      </c>
      <c r="F46">
        <v>40</v>
      </c>
      <c r="G46">
        <v>3</v>
      </c>
      <c r="H46">
        <v>5</v>
      </c>
      <c r="I46">
        <v>0</v>
      </c>
      <c r="J46">
        <v>0</v>
      </c>
    </row>
    <row r="47" spans="1:10" x14ac:dyDescent="0.25">
      <c r="A47" t="s">
        <v>160</v>
      </c>
      <c r="B47" t="s">
        <v>1014</v>
      </c>
      <c r="C47" t="s">
        <v>904</v>
      </c>
      <c r="D47" t="s">
        <v>629</v>
      </c>
      <c r="E47" t="s">
        <v>629</v>
      </c>
      <c r="F47">
        <v>40</v>
      </c>
      <c r="G47">
        <v>3</v>
      </c>
      <c r="H47">
        <v>0</v>
      </c>
      <c r="I47">
        <v>0</v>
      </c>
      <c r="J47">
        <v>0</v>
      </c>
    </row>
    <row r="48" spans="1:10" x14ac:dyDescent="0.25">
      <c r="A48" t="s">
        <v>162</v>
      </c>
      <c r="B48" t="s">
        <v>1020</v>
      </c>
      <c r="C48" t="s">
        <v>1109</v>
      </c>
      <c r="D48" t="s">
        <v>630</v>
      </c>
      <c r="E48" t="s">
        <v>630</v>
      </c>
      <c r="F48">
        <v>40</v>
      </c>
      <c r="G48">
        <v>3</v>
      </c>
      <c r="H48">
        <v>5</v>
      </c>
      <c r="I48">
        <v>0</v>
      </c>
      <c r="J48">
        <v>0</v>
      </c>
    </row>
    <row r="49" spans="1:10" x14ac:dyDescent="0.25">
      <c r="A49" s="15" t="s">
        <v>1262</v>
      </c>
      <c r="B49" s="15" t="s">
        <v>1020</v>
      </c>
      <c r="C49" s="15" t="s">
        <v>1109</v>
      </c>
      <c r="D49" s="15" t="s">
        <v>1263</v>
      </c>
      <c r="E49" s="15" t="s">
        <v>1263</v>
      </c>
      <c r="F49" s="15">
        <v>40</v>
      </c>
      <c r="G49" s="15">
        <v>3</v>
      </c>
      <c r="H49" s="15">
        <v>5</v>
      </c>
      <c r="I49" s="15">
        <v>0</v>
      </c>
      <c r="J49" s="15">
        <v>0</v>
      </c>
    </row>
    <row r="50" spans="1:10" x14ac:dyDescent="0.25">
      <c r="A50" t="s">
        <v>163</v>
      </c>
      <c r="B50" t="s">
        <v>979</v>
      </c>
      <c r="C50" s="14" t="s">
        <v>1126</v>
      </c>
      <c r="D50" t="s">
        <v>631</v>
      </c>
      <c r="E50" t="s">
        <v>631</v>
      </c>
      <c r="F50">
        <v>40</v>
      </c>
      <c r="G50">
        <v>3</v>
      </c>
      <c r="H50">
        <v>5</v>
      </c>
      <c r="I50">
        <v>0</v>
      </c>
      <c r="J50">
        <v>0</v>
      </c>
    </row>
    <row r="51" spans="1:10" x14ac:dyDescent="0.25">
      <c r="A51" s="15" t="s">
        <v>1264</v>
      </c>
      <c r="B51" s="15" t="s">
        <v>584</v>
      </c>
      <c r="C51" s="16" t="s">
        <v>905</v>
      </c>
      <c r="D51" s="15" t="s">
        <v>1265</v>
      </c>
      <c r="E51" s="15" t="s">
        <v>1265</v>
      </c>
      <c r="F51" s="15">
        <v>40</v>
      </c>
      <c r="G51" s="15">
        <v>3</v>
      </c>
      <c r="H51" s="15">
        <v>5</v>
      </c>
      <c r="I51" s="15">
        <v>0</v>
      </c>
      <c r="J51" s="15">
        <v>0</v>
      </c>
    </row>
    <row r="52" spans="1:10" x14ac:dyDescent="0.25">
      <c r="A52" t="s">
        <v>986</v>
      </c>
      <c r="B52" t="s">
        <v>585</v>
      </c>
      <c r="C52" t="s">
        <v>904</v>
      </c>
      <c r="D52" t="s">
        <v>988</v>
      </c>
      <c r="E52" t="s">
        <v>988</v>
      </c>
      <c r="F52">
        <v>40</v>
      </c>
      <c r="G52">
        <v>3</v>
      </c>
      <c r="H52">
        <v>0</v>
      </c>
      <c r="I52">
        <v>0</v>
      </c>
      <c r="J52">
        <v>0</v>
      </c>
    </row>
    <row r="53" spans="1:10" x14ac:dyDescent="0.25">
      <c r="A53" t="s">
        <v>987</v>
      </c>
      <c r="B53" t="s">
        <v>1163</v>
      </c>
      <c r="C53" t="s">
        <v>904</v>
      </c>
      <c r="D53" t="s">
        <v>989</v>
      </c>
      <c r="E53" t="s">
        <v>989</v>
      </c>
      <c r="F53">
        <v>40</v>
      </c>
      <c r="G53">
        <v>3</v>
      </c>
      <c r="H53">
        <v>0</v>
      </c>
      <c r="I53">
        <v>0</v>
      </c>
      <c r="J53">
        <v>0</v>
      </c>
    </row>
    <row r="54" spans="1:10" x14ac:dyDescent="0.25">
      <c r="A54" t="s">
        <v>801</v>
      </c>
      <c r="B54" t="s">
        <v>1011</v>
      </c>
      <c r="C54" s="14" t="s">
        <v>1109</v>
      </c>
      <c r="D54" t="s">
        <v>831</v>
      </c>
      <c r="E54" t="s">
        <v>831</v>
      </c>
      <c r="F54">
        <v>40</v>
      </c>
      <c r="G54">
        <v>3</v>
      </c>
      <c r="H54">
        <v>5</v>
      </c>
      <c r="I54">
        <v>0</v>
      </c>
      <c r="J54">
        <v>0</v>
      </c>
    </row>
    <row r="55" spans="1:10" x14ac:dyDescent="0.25">
      <c r="A55" t="s">
        <v>164</v>
      </c>
      <c r="B55" t="s">
        <v>977</v>
      </c>
      <c r="C55" t="s">
        <v>1048</v>
      </c>
      <c r="D55" t="s">
        <v>632</v>
      </c>
      <c r="E55" t="s">
        <v>632</v>
      </c>
      <c r="F55">
        <v>40</v>
      </c>
      <c r="G55">
        <v>3</v>
      </c>
      <c r="H55">
        <v>5</v>
      </c>
      <c r="I55">
        <v>0</v>
      </c>
      <c r="J55">
        <v>0</v>
      </c>
    </row>
    <row r="56" spans="1:10" x14ac:dyDescent="0.25">
      <c r="A56" t="s">
        <v>165</v>
      </c>
      <c r="B56" t="s">
        <v>977</v>
      </c>
      <c r="C56" t="s">
        <v>904</v>
      </c>
      <c r="D56" t="s">
        <v>633</v>
      </c>
      <c r="E56" t="s">
        <v>633</v>
      </c>
      <c r="F56">
        <v>40</v>
      </c>
      <c r="G56">
        <v>3</v>
      </c>
      <c r="H56">
        <v>0</v>
      </c>
      <c r="I56">
        <v>0</v>
      </c>
      <c r="J56">
        <v>0</v>
      </c>
    </row>
    <row r="57" spans="1:10" x14ac:dyDescent="0.25">
      <c r="A57" t="s">
        <v>166</v>
      </c>
      <c r="B57" t="s">
        <v>584</v>
      </c>
      <c r="C57" t="s">
        <v>904</v>
      </c>
      <c r="D57" t="s">
        <v>634</v>
      </c>
      <c r="E57" t="s">
        <v>634</v>
      </c>
      <c r="F57">
        <v>40</v>
      </c>
      <c r="G57">
        <v>3</v>
      </c>
      <c r="H57">
        <v>0</v>
      </c>
      <c r="I57">
        <v>0</v>
      </c>
      <c r="J57">
        <v>0</v>
      </c>
    </row>
    <row r="58" spans="1:10" x14ac:dyDescent="0.25">
      <c r="A58" s="10" t="s">
        <v>898</v>
      </c>
      <c r="B58" t="s">
        <v>269</v>
      </c>
      <c r="C58" t="s">
        <v>905</v>
      </c>
      <c r="D58" t="s">
        <v>899</v>
      </c>
      <c r="E58" t="s">
        <v>899</v>
      </c>
      <c r="F58">
        <v>40</v>
      </c>
      <c r="G58">
        <v>3</v>
      </c>
      <c r="H58">
        <v>5</v>
      </c>
      <c r="I58">
        <v>0</v>
      </c>
      <c r="J58">
        <v>0</v>
      </c>
    </row>
    <row r="59" spans="1:10" x14ac:dyDescent="0.25">
      <c r="A59" t="s">
        <v>167</v>
      </c>
      <c r="B59" t="s">
        <v>584</v>
      </c>
      <c r="C59" t="s">
        <v>905</v>
      </c>
      <c r="D59" t="s">
        <v>635</v>
      </c>
      <c r="E59" t="s">
        <v>635</v>
      </c>
      <c r="F59">
        <v>40</v>
      </c>
      <c r="G59">
        <v>3</v>
      </c>
      <c r="H59">
        <v>5</v>
      </c>
      <c r="I59">
        <v>0</v>
      </c>
      <c r="J59">
        <v>0</v>
      </c>
    </row>
    <row r="60" spans="1:10" x14ac:dyDescent="0.25">
      <c r="A60" t="s">
        <v>168</v>
      </c>
      <c r="B60" t="s">
        <v>584</v>
      </c>
      <c r="C60" t="s">
        <v>905</v>
      </c>
      <c r="D60" t="s">
        <v>636</v>
      </c>
      <c r="E60" t="s">
        <v>636</v>
      </c>
      <c r="F60">
        <v>40</v>
      </c>
      <c r="G60">
        <v>3</v>
      </c>
      <c r="H60">
        <v>5</v>
      </c>
      <c r="I60">
        <v>0</v>
      </c>
      <c r="J60">
        <v>0</v>
      </c>
    </row>
    <row r="61" spans="1:10" x14ac:dyDescent="0.25">
      <c r="A61" t="s">
        <v>169</v>
      </c>
      <c r="B61" t="s">
        <v>584</v>
      </c>
      <c r="C61" t="s">
        <v>905</v>
      </c>
      <c r="D61" t="s">
        <v>637</v>
      </c>
      <c r="E61" t="s">
        <v>637</v>
      </c>
      <c r="F61">
        <v>40</v>
      </c>
      <c r="G61">
        <v>3</v>
      </c>
      <c r="H61">
        <v>5</v>
      </c>
      <c r="I61">
        <v>0</v>
      </c>
      <c r="J61">
        <v>0</v>
      </c>
    </row>
    <row r="62" spans="1:10" x14ac:dyDescent="0.25">
      <c r="A62" s="15" t="s">
        <v>1266</v>
      </c>
      <c r="B62" s="15" t="s">
        <v>584</v>
      </c>
      <c r="C62" s="15" t="s">
        <v>904</v>
      </c>
      <c r="D62" s="15" t="s">
        <v>1267</v>
      </c>
      <c r="E62" s="15" t="s">
        <v>1267</v>
      </c>
      <c r="F62" s="15">
        <v>40</v>
      </c>
      <c r="G62" s="15">
        <v>3</v>
      </c>
      <c r="H62" s="15">
        <v>0</v>
      </c>
      <c r="I62" s="15">
        <v>0</v>
      </c>
      <c r="J62" s="15">
        <v>0</v>
      </c>
    </row>
    <row r="63" spans="1:10" x14ac:dyDescent="0.25">
      <c r="A63" t="s">
        <v>170</v>
      </c>
      <c r="B63" t="s">
        <v>395</v>
      </c>
      <c r="C63" t="s">
        <v>904</v>
      </c>
      <c r="D63" t="s">
        <v>638</v>
      </c>
      <c r="E63" t="s">
        <v>638</v>
      </c>
      <c r="F63">
        <v>40</v>
      </c>
      <c r="G63">
        <v>3</v>
      </c>
      <c r="H63">
        <v>0</v>
      </c>
      <c r="I63">
        <v>0</v>
      </c>
      <c r="J63">
        <v>0</v>
      </c>
    </row>
    <row r="64" spans="1:10" x14ac:dyDescent="0.25">
      <c r="A64" t="s">
        <v>172</v>
      </c>
      <c r="B64" t="s">
        <v>979</v>
      </c>
      <c r="C64" t="s">
        <v>1166</v>
      </c>
      <c r="D64" t="s">
        <v>639</v>
      </c>
      <c r="E64" t="s">
        <v>639</v>
      </c>
      <c r="F64">
        <v>40</v>
      </c>
      <c r="G64">
        <v>3</v>
      </c>
      <c r="H64">
        <v>5</v>
      </c>
      <c r="I64">
        <v>0</v>
      </c>
      <c r="J64">
        <v>0</v>
      </c>
    </row>
    <row r="65" spans="1:10" x14ac:dyDescent="0.25">
      <c r="A65" t="s">
        <v>173</v>
      </c>
      <c r="B65" t="s">
        <v>979</v>
      </c>
      <c r="C65" t="s">
        <v>904</v>
      </c>
      <c r="D65" t="s">
        <v>640</v>
      </c>
      <c r="E65" t="s">
        <v>640</v>
      </c>
      <c r="F65">
        <v>40</v>
      </c>
      <c r="G65">
        <v>3</v>
      </c>
      <c r="H65">
        <v>0</v>
      </c>
      <c r="I65">
        <v>0</v>
      </c>
      <c r="J65">
        <v>0</v>
      </c>
    </row>
    <row r="66" spans="1:10" x14ac:dyDescent="0.25">
      <c r="A66" t="s">
        <v>174</v>
      </c>
      <c r="B66" t="s">
        <v>175</v>
      </c>
      <c r="C66" t="s">
        <v>904</v>
      </c>
      <c r="D66" t="s">
        <v>641</v>
      </c>
      <c r="E66" t="s">
        <v>641</v>
      </c>
      <c r="F66">
        <v>40</v>
      </c>
      <c r="G66">
        <v>3</v>
      </c>
      <c r="H66">
        <v>0</v>
      </c>
      <c r="I66">
        <v>0</v>
      </c>
      <c r="J66">
        <v>0</v>
      </c>
    </row>
    <row r="67" spans="1:10" x14ac:dyDescent="0.25">
      <c r="A67" t="s">
        <v>176</v>
      </c>
      <c r="B67" t="s">
        <v>977</v>
      </c>
      <c r="C67" t="s">
        <v>903</v>
      </c>
      <c r="D67" t="s">
        <v>642</v>
      </c>
      <c r="E67" t="s">
        <v>642</v>
      </c>
      <c r="F67">
        <v>40</v>
      </c>
      <c r="G67">
        <v>3</v>
      </c>
      <c r="H67">
        <v>5</v>
      </c>
      <c r="I67">
        <v>0</v>
      </c>
      <c r="J67">
        <v>0</v>
      </c>
    </row>
    <row r="68" spans="1:10" x14ac:dyDescent="0.25">
      <c r="A68" s="15" t="s">
        <v>1268</v>
      </c>
      <c r="B68" s="15" t="s">
        <v>584</v>
      </c>
      <c r="C68" s="15" t="s">
        <v>905</v>
      </c>
      <c r="D68" s="15" t="s">
        <v>1269</v>
      </c>
      <c r="E68" s="15" t="s">
        <v>1269</v>
      </c>
      <c r="F68" s="15">
        <v>40</v>
      </c>
      <c r="G68" s="15">
        <v>3</v>
      </c>
      <c r="H68" s="15">
        <v>5</v>
      </c>
      <c r="I68" s="15">
        <v>0</v>
      </c>
      <c r="J68" s="15">
        <v>0</v>
      </c>
    </row>
    <row r="69" spans="1:10" x14ac:dyDescent="0.25">
      <c r="A69" s="15" t="s">
        <v>1270</v>
      </c>
      <c r="B69" s="15" t="s">
        <v>584</v>
      </c>
      <c r="C69" s="15" t="s">
        <v>904</v>
      </c>
      <c r="D69" s="15" t="s">
        <v>1271</v>
      </c>
      <c r="E69" s="15" t="s">
        <v>1271</v>
      </c>
      <c r="F69" s="15">
        <v>40</v>
      </c>
      <c r="G69" s="15">
        <v>3</v>
      </c>
      <c r="H69" s="15">
        <v>0</v>
      </c>
      <c r="I69" s="15">
        <v>0</v>
      </c>
      <c r="J69" s="15">
        <v>0</v>
      </c>
    </row>
    <row r="70" spans="1:10" x14ac:dyDescent="0.25">
      <c r="A70" t="s">
        <v>178</v>
      </c>
      <c r="B70" t="s">
        <v>584</v>
      </c>
      <c r="C70" t="s">
        <v>905</v>
      </c>
      <c r="D70" t="s">
        <v>643</v>
      </c>
      <c r="E70" t="s">
        <v>643</v>
      </c>
      <c r="F70">
        <v>40</v>
      </c>
      <c r="G70">
        <v>3</v>
      </c>
      <c r="H70">
        <v>5</v>
      </c>
      <c r="I70">
        <v>0</v>
      </c>
      <c r="J70">
        <v>0</v>
      </c>
    </row>
    <row r="71" spans="1:10" x14ac:dyDescent="0.25">
      <c r="A71" s="15" t="s">
        <v>1272</v>
      </c>
      <c r="B71" s="15" t="s">
        <v>1273</v>
      </c>
      <c r="C71" s="15" t="s">
        <v>904</v>
      </c>
      <c r="D71" s="15" t="s">
        <v>1274</v>
      </c>
      <c r="E71" s="15" t="s">
        <v>1274</v>
      </c>
      <c r="F71" s="15">
        <v>40</v>
      </c>
      <c r="G71" s="15">
        <v>3</v>
      </c>
      <c r="H71" s="15">
        <v>0</v>
      </c>
      <c r="I71" s="15">
        <v>0</v>
      </c>
      <c r="J71" s="15">
        <v>0</v>
      </c>
    </row>
    <row r="72" spans="1:10" x14ac:dyDescent="0.25">
      <c r="A72" t="s">
        <v>179</v>
      </c>
      <c r="B72" t="s">
        <v>111</v>
      </c>
      <c r="C72" t="s">
        <v>904</v>
      </c>
      <c r="D72" t="s">
        <v>644</v>
      </c>
      <c r="E72" t="s">
        <v>644</v>
      </c>
      <c r="F72">
        <v>40</v>
      </c>
      <c r="G72">
        <v>3</v>
      </c>
      <c r="H72">
        <v>0</v>
      </c>
      <c r="I72">
        <v>0</v>
      </c>
      <c r="J72">
        <v>0</v>
      </c>
    </row>
    <row r="73" spans="1:10" x14ac:dyDescent="0.25">
      <c r="A73" s="7" t="s">
        <v>802</v>
      </c>
      <c r="B73" t="s">
        <v>1112</v>
      </c>
      <c r="C73" t="s">
        <v>1109</v>
      </c>
      <c r="D73" t="s">
        <v>832</v>
      </c>
      <c r="E73" t="s">
        <v>832</v>
      </c>
      <c r="F73">
        <v>40</v>
      </c>
      <c r="G73">
        <v>3</v>
      </c>
      <c r="H73">
        <v>5</v>
      </c>
      <c r="I73">
        <v>0</v>
      </c>
      <c r="J73">
        <v>0</v>
      </c>
    </row>
    <row r="74" spans="1:10" x14ac:dyDescent="0.25">
      <c r="A74" s="7" t="s">
        <v>803</v>
      </c>
      <c r="B74" t="s">
        <v>584</v>
      </c>
      <c r="C74" t="s">
        <v>905</v>
      </c>
      <c r="D74" t="s">
        <v>833</v>
      </c>
      <c r="E74" t="s">
        <v>833</v>
      </c>
      <c r="F74">
        <v>40</v>
      </c>
      <c r="G74">
        <v>3</v>
      </c>
      <c r="H74">
        <v>5</v>
      </c>
      <c r="I74">
        <v>0</v>
      </c>
      <c r="J74">
        <v>0</v>
      </c>
    </row>
    <row r="75" spans="1:10" x14ac:dyDescent="0.25">
      <c r="A75" t="s">
        <v>1117</v>
      </c>
      <c r="B75" t="s">
        <v>134</v>
      </c>
      <c r="C75" t="s">
        <v>1109</v>
      </c>
      <c r="D75" t="s">
        <v>1118</v>
      </c>
      <c r="E75" t="s">
        <v>1118</v>
      </c>
      <c r="F75">
        <v>40</v>
      </c>
      <c r="G75">
        <v>2</v>
      </c>
      <c r="H75">
        <v>5</v>
      </c>
      <c r="I75">
        <v>0</v>
      </c>
      <c r="J75">
        <v>0</v>
      </c>
    </row>
    <row r="76" spans="1:10" x14ac:dyDescent="0.25">
      <c r="A76" t="s">
        <v>180</v>
      </c>
      <c r="B76" t="s">
        <v>584</v>
      </c>
      <c r="C76" t="s">
        <v>905</v>
      </c>
      <c r="D76" t="s">
        <v>645</v>
      </c>
      <c r="E76" t="s">
        <v>645</v>
      </c>
      <c r="F76">
        <v>40</v>
      </c>
      <c r="G76">
        <v>3</v>
      </c>
      <c r="H76">
        <v>5</v>
      </c>
      <c r="I76">
        <v>0</v>
      </c>
      <c r="J76">
        <v>0</v>
      </c>
    </row>
    <row r="77" spans="1:10" x14ac:dyDescent="0.25">
      <c r="A77" t="s">
        <v>181</v>
      </c>
      <c r="B77" t="s">
        <v>584</v>
      </c>
      <c r="C77" t="s">
        <v>905</v>
      </c>
      <c r="D77" t="s">
        <v>646</v>
      </c>
      <c r="E77" t="s">
        <v>646</v>
      </c>
      <c r="F77">
        <v>40</v>
      </c>
      <c r="G77">
        <v>3</v>
      </c>
      <c r="H77">
        <v>5</v>
      </c>
      <c r="I77">
        <v>0</v>
      </c>
      <c r="J77">
        <v>0</v>
      </c>
    </row>
    <row r="78" spans="1:10" x14ac:dyDescent="0.25">
      <c r="A78" t="s">
        <v>182</v>
      </c>
      <c r="B78" t="s">
        <v>584</v>
      </c>
      <c r="C78" t="s">
        <v>905</v>
      </c>
      <c r="D78" t="s">
        <v>647</v>
      </c>
      <c r="E78" t="s">
        <v>647</v>
      </c>
      <c r="F78">
        <v>40</v>
      </c>
      <c r="G78">
        <v>3</v>
      </c>
      <c r="H78">
        <v>5</v>
      </c>
      <c r="I78">
        <v>0</v>
      </c>
      <c r="J78">
        <v>0</v>
      </c>
    </row>
    <row r="79" spans="1:10" x14ac:dyDescent="0.25">
      <c r="A79" t="s">
        <v>183</v>
      </c>
      <c r="B79" t="s">
        <v>584</v>
      </c>
      <c r="C79" t="s">
        <v>905</v>
      </c>
      <c r="D79" t="s">
        <v>648</v>
      </c>
      <c r="E79" t="s">
        <v>648</v>
      </c>
      <c r="F79">
        <v>40</v>
      </c>
      <c r="G79">
        <v>3</v>
      </c>
      <c r="H79">
        <v>5</v>
      </c>
      <c r="I79">
        <v>0</v>
      </c>
      <c r="J79">
        <v>0</v>
      </c>
    </row>
    <row r="80" spans="1:10" x14ac:dyDescent="0.25">
      <c r="A80" t="s">
        <v>804</v>
      </c>
      <c r="B80" t="s">
        <v>584</v>
      </c>
      <c r="C80" t="s">
        <v>905</v>
      </c>
      <c r="D80" t="s">
        <v>834</v>
      </c>
      <c r="E80" t="s">
        <v>834</v>
      </c>
      <c r="F80">
        <v>40</v>
      </c>
      <c r="G80">
        <v>3</v>
      </c>
      <c r="H80">
        <v>5</v>
      </c>
      <c r="I80">
        <v>0</v>
      </c>
      <c r="J80">
        <v>0</v>
      </c>
    </row>
    <row r="81" spans="1:10" x14ac:dyDescent="0.25">
      <c r="A81" t="s">
        <v>1119</v>
      </c>
      <c r="B81" t="s">
        <v>175</v>
      </c>
      <c r="C81" t="s">
        <v>904</v>
      </c>
      <c r="D81" t="s">
        <v>1120</v>
      </c>
      <c r="E81" t="s">
        <v>1120</v>
      </c>
      <c r="F81">
        <v>40</v>
      </c>
      <c r="G81">
        <v>3</v>
      </c>
      <c r="H81">
        <v>0</v>
      </c>
      <c r="I81">
        <v>0</v>
      </c>
      <c r="J81">
        <v>0</v>
      </c>
    </row>
    <row r="82" spans="1:10" x14ac:dyDescent="0.25">
      <c r="A82" s="15" t="s">
        <v>1275</v>
      </c>
      <c r="B82" s="15" t="s">
        <v>584</v>
      </c>
      <c r="C82" s="15" t="s">
        <v>904</v>
      </c>
      <c r="D82" s="15" t="s">
        <v>1276</v>
      </c>
      <c r="E82" s="15" t="s">
        <v>1276</v>
      </c>
      <c r="F82" s="15">
        <v>40</v>
      </c>
      <c r="G82" s="15">
        <v>3</v>
      </c>
      <c r="H82" s="15">
        <v>0</v>
      </c>
      <c r="I82" s="15">
        <v>0</v>
      </c>
      <c r="J82" s="15">
        <v>0</v>
      </c>
    </row>
    <row r="83" spans="1:10" x14ac:dyDescent="0.25">
      <c r="A83" t="s">
        <v>184</v>
      </c>
      <c r="B83" t="s">
        <v>111</v>
      </c>
      <c r="C83" t="s">
        <v>905</v>
      </c>
      <c r="D83" t="s">
        <v>649</v>
      </c>
      <c r="E83" t="s">
        <v>649</v>
      </c>
      <c r="F83">
        <v>40</v>
      </c>
      <c r="G83">
        <v>3</v>
      </c>
      <c r="H83">
        <v>5</v>
      </c>
      <c r="I83">
        <v>0</v>
      </c>
      <c r="J83">
        <v>0</v>
      </c>
    </row>
    <row r="84" spans="1:10" x14ac:dyDescent="0.25">
      <c r="A84" t="s">
        <v>185</v>
      </c>
      <c r="B84" t="s">
        <v>584</v>
      </c>
      <c r="C84" t="s">
        <v>905</v>
      </c>
      <c r="D84" t="s">
        <v>650</v>
      </c>
      <c r="E84" t="s">
        <v>650</v>
      </c>
      <c r="F84">
        <v>40</v>
      </c>
      <c r="G84">
        <v>3</v>
      </c>
      <c r="H84">
        <v>5</v>
      </c>
      <c r="I84">
        <v>0</v>
      </c>
      <c r="J84">
        <v>0</v>
      </c>
    </row>
    <row r="85" spans="1:10" x14ac:dyDescent="0.25">
      <c r="A85" t="s">
        <v>186</v>
      </c>
      <c r="B85" t="s">
        <v>977</v>
      </c>
      <c r="C85" t="s">
        <v>905</v>
      </c>
      <c r="D85" t="s">
        <v>651</v>
      </c>
      <c r="E85" t="s">
        <v>651</v>
      </c>
      <c r="F85">
        <v>40</v>
      </c>
      <c r="G85">
        <v>3</v>
      </c>
      <c r="H85">
        <v>5</v>
      </c>
      <c r="I85">
        <v>0</v>
      </c>
      <c r="J85">
        <v>0</v>
      </c>
    </row>
    <row r="86" spans="1:10" x14ac:dyDescent="0.25">
      <c r="A86" t="s">
        <v>539</v>
      </c>
      <c r="B86" t="s">
        <v>1112</v>
      </c>
      <c r="C86" t="s">
        <v>906</v>
      </c>
      <c r="D86" t="s">
        <v>652</v>
      </c>
      <c r="E86" t="s">
        <v>652</v>
      </c>
      <c r="F86">
        <v>40</v>
      </c>
      <c r="G86">
        <v>3</v>
      </c>
      <c r="H86">
        <v>5</v>
      </c>
      <c r="I86">
        <v>0</v>
      </c>
      <c r="J86">
        <v>0</v>
      </c>
    </row>
    <row r="87" spans="1:10" x14ac:dyDescent="0.25">
      <c r="A87" t="s">
        <v>187</v>
      </c>
      <c r="B87" t="s">
        <v>584</v>
      </c>
      <c r="C87" t="s">
        <v>905</v>
      </c>
      <c r="D87" t="s">
        <v>653</v>
      </c>
      <c r="E87" t="s">
        <v>653</v>
      </c>
      <c r="F87">
        <v>40</v>
      </c>
      <c r="G87">
        <v>3</v>
      </c>
      <c r="H87">
        <v>5</v>
      </c>
      <c r="I87">
        <v>0</v>
      </c>
      <c r="J87">
        <v>0</v>
      </c>
    </row>
    <row r="88" spans="1:10" x14ac:dyDescent="0.25">
      <c r="A88" t="s">
        <v>188</v>
      </c>
      <c r="B88" t="s">
        <v>111</v>
      </c>
      <c r="C88" t="s">
        <v>904</v>
      </c>
      <c r="D88" t="s">
        <v>654</v>
      </c>
      <c r="E88" t="s">
        <v>654</v>
      </c>
      <c r="F88">
        <v>40</v>
      </c>
      <c r="G88">
        <v>3</v>
      </c>
      <c r="H88">
        <v>0</v>
      </c>
      <c r="I88">
        <v>0</v>
      </c>
      <c r="J88">
        <v>0</v>
      </c>
    </row>
    <row r="89" spans="1:10" x14ac:dyDescent="0.25">
      <c r="A89" t="s">
        <v>189</v>
      </c>
      <c r="B89" t="s">
        <v>979</v>
      </c>
      <c r="C89" t="s">
        <v>903</v>
      </c>
      <c r="D89" t="s">
        <v>655</v>
      </c>
      <c r="E89" t="s">
        <v>655</v>
      </c>
      <c r="F89">
        <v>40</v>
      </c>
      <c r="G89">
        <v>3</v>
      </c>
      <c r="H89">
        <v>5</v>
      </c>
      <c r="I89">
        <v>0</v>
      </c>
      <c r="J89">
        <v>0</v>
      </c>
    </row>
    <row r="90" spans="1:10" x14ac:dyDescent="0.25">
      <c r="A90" t="s">
        <v>190</v>
      </c>
      <c r="B90" t="s">
        <v>111</v>
      </c>
      <c r="C90" t="s">
        <v>905</v>
      </c>
      <c r="D90" t="s">
        <v>656</v>
      </c>
      <c r="E90" t="s">
        <v>656</v>
      </c>
      <c r="F90">
        <v>40</v>
      </c>
      <c r="G90">
        <v>3</v>
      </c>
      <c r="H90">
        <v>5</v>
      </c>
      <c r="I90">
        <v>0</v>
      </c>
      <c r="J90">
        <v>0</v>
      </c>
    </row>
    <row r="91" spans="1:10" x14ac:dyDescent="0.25">
      <c r="A91" t="s">
        <v>191</v>
      </c>
      <c r="B91" t="s">
        <v>116</v>
      </c>
      <c r="C91" s="15" t="s">
        <v>1221</v>
      </c>
      <c r="D91" t="s">
        <v>657</v>
      </c>
      <c r="E91" t="s">
        <v>657</v>
      </c>
      <c r="F91">
        <v>40</v>
      </c>
      <c r="G91">
        <v>3</v>
      </c>
      <c r="H91">
        <v>5</v>
      </c>
      <c r="I91">
        <v>0</v>
      </c>
      <c r="J91">
        <v>8</v>
      </c>
    </row>
    <row r="92" spans="1:10" x14ac:dyDescent="0.25">
      <c r="A92" t="s">
        <v>192</v>
      </c>
      <c r="B92" t="s">
        <v>1167</v>
      </c>
      <c r="C92" t="s">
        <v>947</v>
      </c>
      <c r="D92" t="s">
        <v>658</v>
      </c>
      <c r="E92" t="s">
        <v>658</v>
      </c>
      <c r="F92">
        <v>40</v>
      </c>
      <c r="G92">
        <v>3</v>
      </c>
      <c r="H92">
        <v>5</v>
      </c>
      <c r="I92">
        <v>0</v>
      </c>
      <c r="J92">
        <v>0</v>
      </c>
    </row>
    <row r="93" spans="1:10" x14ac:dyDescent="0.25">
      <c r="A93" t="s">
        <v>805</v>
      </c>
      <c r="B93" t="s">
        <v>1112</v>
      </c>
      <c r="C93" t="s">
        <v>1109</v>
      </c>
      <c r="D93" t="s">
        <v>835</v>
      </c>
      <c r="E93" t="s">
        <v>835</v>
      </c>
      <c r="F93">
        <v>40</v>
      </c>
      <c r="G93">
        <v>3</v>
      </c>
      <c r="H93">
        <v>5</v>
      </c>
      <c r="I93">
        <v>0</v>
      </c>
      <c r="J93">
        <v>0</v>
      </c>
    </row>
    <row r="94" spans="1:10" x14ac:dyDescent="0.25">
      <c r="A94" s="15" t="s">
        <v>1277</v>
      </c>
      <c r="B94" s="15" t="s">
        <v>584</v>
      </c>
      <c r="C94" s="15" t="s">
        <v>905</v>
      </c>
      <c r="D94" s="15" t="s">
        <v>1278</v>
      </c>
      <c r="E94" s="15" t="s">
        <v>1278</v>
      </c>
      <c r="F94" s="15">
        <v>40</v>
      </c>
      <c r="G94" s="15">
        <v>3</v>
      </c>
      <c r="H94" s="15">
        <v>5</v>
      </c>
      <c r="I94" s="15">
        <v>0</v>
      </c>
      <c r="J94" s="15">
        <v>0</v>
      </c>
    </row>
    <row r="95" spans="1:10" x14ac:dyDescent="0.25">
      <c r="A95" s="15" t="s">
        <v>1279</v>
      </c>
      <c r="B95" s="15" t="s">
        <v>584</v>
      </c>
      <c r="C95" s="15" t="s">
        <v>904</v>
      </c>
      <c r="D95" s="15" t="s">
        <v>1280</v>
      </c>
      <c r="E95" s="15" t="s">
        <v>1280</v>
      </c>
      <c r="F95" s="15">
        <v>40</v>
      </c>
      <c r="G95" s="15">
        <v>3</v>
      </c>
      <c r="H95" s="15">
        <v>0</v>
      </c>
      <c r="I95" s="15">
        <v>0</v>
      </c>
      <c r="J95" s="15">
        <v>0</v>
      </c>
    </row>
    <row r="96" spans="1:10" x14ac:dyDescent="0.25">
      <c r="A96" t="s">
        <v>193</v>
      </c>
      <c r="B96" t="s">
        <v>194</v>
      </c>
      <c r="C96" t="s">
        <v>904</v>
      </c>
      <c r="D96" t="s">
        <v>659</v>
      </c>
      <c r="E96" t="s">
        <v>659</v>
      </c>
      <c r="F96">
        <v>40</v>
      </c>
      <c r="G96">
        <v>3</v>
      </c>
      <c r="H96">
        <v>0</v>
      </c>
      <c r="I96">
        <v>0</v>
      </c>
      <c r="J96">
        <v>0</v>
      </c>
    </row>
    <row r="97" spans="1:10" x14ac:dyDescent="0.25">
      <c r="A97" t="s">
        <v>195</v>
      </c>
      <c r="B97" t="s">
        <v>979</v>
      </c>
      <c r="C97" t="s">
        <v>903</v>
      </c>
      <c r="D97" t="s">
        <v>660</v>
      </c>
      <c r="E97" t="s">
        <v>660</v>
      </c>
      <c r="F97">
        <v>40</v>
      </c>
      <c r="G97">
        <v>3</v>
      </c>
      <c r="H97">
        <v>5</v>
      </c>
      <c r="I97">
        <v>0</v>
      </c>
      <c r="J97">
        <v>0</v>
      </c>
    </row>
    <row r="98" spans="1:10" x14ac:dyDescent="0.25">
      <c r="A98" t="s">
        <v>806</v>
      </c>
      <c r="B98" t="s">
        <v>1020</v>
      </c>
      <c r="C98" t="s">
        <v>1109</v>
      </c>
      <c r="D98" t="s">
        <v>836</v>
      </c>
      <c r="E98" t="s">
        <v>836</v>
      </c>
      <c r="F98">
        <v>40</v>
      </c>
      <c r="G98">
        <v>3</v>
      </c>
      <c r="H98">
        <v>5</v>
      </c>
      <c r="I98">
        <v>0</v>
      </c>
      <c r="J98">
        <v>0</v>
      </c>
    </row>
    <row r="99" spans="1:10" x14ac:dyDescent="0.25">
      <c r="A99" t="s">
        <v>807</v>
      </c>
      <c r="B99" t="s">
        <v>584</v>
      </c>
      <c r="C99" t="s">
        <v>905</v>
      </c>
      <c r="D99" t="s">
        <v>837</v>
      </c>
      <c r="E99" t="s">
        <v>837</v>
      </c>
      <c r="F99">
        <v>40</v>
      </c>
      <c r="G99">
        <v>3</v>
      </c>
      <c r="H99">
        <v>5</v>
      </c>
      <c r="I99">
        <v>0</v>
      </c>
      <c r="J99">
        <v>0</v>
      </c>
    </row>
    <row r="100" spans="1:10" x14ac:dyDescent="0.25">
      <c r="A100" t="s">
        <v>196</v>
      </c>
      <c r="B100" t="s">
        <v>536</v>
      </c>
      <c r="C100" t="s">
        <v>1044</v>
      </c>
      <c r="D100" t="s">
        <v>661</v>
      </c>
      <c r="E100" t="s">
        <v>661</v>
      </c>
      <c r="F100">
        <v>40</v>
      </c>
      <c r="G100">
        <v>3</v>
      </c>
      <c r="H100">
        <v>5</v>
      </c>
      <c r="I100">
        <v>0</v>
      </c>
      <c r="J100">
        <v>0</v>
      </c>
    </row>
    <row r="101" spans="1:10" x14ac:dyDescent="0.25">
      <c r="A101" t="s">
        <v>197</v>
      </c>
      <c r="B101" t="s">
        <v>537</v>
      </c>
      <c r="C101" t="s">
        <v>1109</v>
      </c>
      <c r="D101" t="s">
        <v>662</v>
      </c>
      <c r="E101" t="s">
        <v>662</v>
      </c>
      <c r="F101">
        <v>40</v>
      </c>
      <c r="G101">
        <v>3</v>
      </c>
      <c r="H101">
        <v>5</v>
      </c>
      <c r="I101">
        <v>0</v>
      </c>
      <c r="J101">
        <v>0</v>
      </c>
    </row>
    <row r="102" spans="1:10" x14ac:dyDescent="0.25">
      <c r="A102" t="s">
        <v>198</v>
      </c>
      <c r="B102" t="s">
        <v>584</v>
      </c>
      <c r="C102" t="s">
        <v>905</v>
      </c>
      <c r="D102" t="s">
        <v>663</v>
      </c>
      <c r="E102" t="s">
        <v>663</v>
      </c>
      <c r="F102">
        <v>40</v>
      </c>
      <c r="G102">
        <v>3</v>
      </c>
      <c r="H102">
        <v>5</v>
      </c>
      <c r="I102">
        <v>0</v>
      </c>
      <c r="J102">
        <v>0</v>
      </c>
    </row>
    <row r="103" spans="1:10" x14ac:dyDescent="0.25">
      <c r="A103" t="s">
        <v>199</v>
      </c>
      <c r="B103" t="s">
        <v>584</v>
      </c>
      <c r="C103" t="s">
        <v>905</v>
      </c>
      <c r="D103" t="s">
        <v>664</v>
      </c>
      <c r="E103" t="s">
        <v>664</v>
      </c>
      <c r="F103">
        <v>40</v>
      </c>
      <c r="G103">
        <v>3</v>
      </c>
      <c r="H103">
        <v>5</v>
      </c>
      <c r="I103">
        <v>0</v>
      </c>
      <c r="J103">
        <v>0</v>
      </c>
    </row>
    <row r="104" spans="1:10" x14ac:dyDescent="0.25">
      <c r="A104" t="s">
        <v>200</v>
      </c>
      <c r="B104" t="s">
        <v>541</v>
      </c>
      <c r="C104" t="s">
        <v>904</v>
      </c>
      <c r="D104" t="s">
        <v>665</v>
      </c>
      <c r="E104" t="s">
        <v>665</v>
      </c>
      <c r="F104">
        <v>40</v>
      </c>
      <c r="G104">
        <v>3</v>
      </c>
      <c r="H104">
        <v>0</v>
      </c>
      <c r="I104">
        <v>0</v>
      </c>
      <c r="J104">
        <v>0</v>
      </c>
    </row>
    <row r="105" spans="1:10" x14ac:dyDescent="0.25">
      <c r="A105" t="s">
        <v>201</v>
      </c>
      <c r="B105" t="s">
        <v>864</v>
      </c>
      <c r="C105" t="s">
        <v>904</v>
      </c>
      <c r="D105" t="s">
        <v>666</v>
      </c>
      <c r="E105" t="s">
        <v>666</v>
      </c>
      <c r="F105">
        <v>40</v>
      </c>
      <c r="G105">
        <v>2</v>
      </c>
      <c r="H105">
        <v>0</v>
      </c>
      <c r="I105">
        <v>0</v>
      </c>
      <c r="J105">
        <v>0</v>
      </c>
    </row>
    <row r="106" spans="1:10" x14ac:dyDescent="0.25">
      <c r="A106" t="s">
        <v>372</v>
      </c>
      <c r="B106" t="s">
        <v>111</v>
      </c>
      <c r="C106" t="s">
        <v>904</v>
      </c>
      <c r="D106" t="s">
        <v>667</v>
      </c>
      <c r="E106" t="s">
        <v>667</v>
      </c>
      <c r="F106">
        <v>40</v>
      </c>
      <c r="G106">
        <v>3</v>
      </c>
      <c r="H106">
        <v>0</v>
      </c>
      <c r="I106">
        <v>0</v>
      </c>
      <c r="J106">
        <v>0</v>
      </c>
    </row>
    <row r="107" spans="1:10" x14ac:dyDescent="0.25">
      <c r="A107" t="s">
        <v>203</v>
      </c>
      <c r="B107" t="s">
        <v>584</v>
      </c>
      <c r="C107" t="s">
        <v>905</v>
      </c>
      <c r="D107" t="s">
        <v>668</v>
      </c>
      <c r="E107" t="s">
        <v>668</v>
      </c>
      <c r="F107">
        <v>40</v>
      </c>
      <c r="G107">
        <v>3</v>
      </c>
      <c r="H107">
        <v>5</v>
      </c>
      <c r="I107">
        <v>0</v>
      </c>
      <c r="J107">
        <v>0</v>
      </c>
    </row>
    <row r="108" spans="1:10" x14ac:dyDescent="0.25">
      <c r="A108" s="7" t="s">
        <v>808</v>
      </c>
      <c r="B108" t="s">
        <v>1112</v>
      </c>
      <c r="C108" t="s">
        <v>906</v>
      </c>
      <c r="D108" t="s">
        <v>838</v>
      </c>
      <c r="E108" t="s">
        <v>838</v>
      </c>
      <c r="F108">
        <v>40</v>
      </c>
      <c r="G108">
        <v>3</v>
      </c>
      <c r="H108">
        <v>5</v>
      </c>
      <c r="I108">
        <v>0</v>
      </c>
      <c r="J108">
        <v>0</v>
      </c>
    </row>
    <row r="109" spans="1:10" x14ac:dyDescent="0.25">
      <c r="A109" t="s">
        <v>204</v>
      </c>
      <c r="B109" t="s">
        <v>966</v>
      </c>
      <c r="C109" t="s">
        <v>1134</v>
      </c>
      <c r="D109" t="s">
        <v>669</v>
      </c>
      <c r="E109" t="s">
        <v>669</v>
      </c>
      <c r="F109">
        <v>40</v>
      </c>
      <c r="G109">
        <v>3</v>
      </c>
      <c r="H109">
        <v>5</v>
      </c>
      <c r="I109">
        <v>0</v>
      </c>
      <c r="J109">
        <v>0</v>
      </c>
    </row>
    <row r="110" spans="1:10" x14ac:dyDescent="0.25">
      <c r="A110" t="s">
        <v>205</v>
      </c>
      <c r="B110" t="s">
        <v>584</v>
      </c>
      <c r="C110" t="s">
        <v>905</v>
      </c>
      <c r="D110" t="s">
        <v>670</v>
      </c>
      <c r="E110" t="s">
        <v>670</v>
      </c>
      <c r="F110">
        <v>40</v>
      </c>
      <c r="G110">
        <v>3</v>
      </c>
      <c r="H110">
        <v>5</v>
      </c>
      <c r="I110">
        <v>0</v>
      </c>
      <c r="J110">
        <v>0</v>
      </c>
    </row>
    <row r="111" spans="1:10" x14ac:dyDescent="0.25">
      <c r="A111" t="s">
        <v>206</v>
      </c>
      <c r="B111" t="s">
        <v>536</v>
      </c>
      <c r="C111" t="s">
        <v>903</v>
      </c>
      <c r="D111" t="s">
        <v>671</v>
      </c>
      <c r="E111" t="s">
        <v>671</v>
      </c>
      <c r="F111">
        <v>40</v>
      </c>
      <c r="G111">
        <v>3</v>
      </c>
      <c r="H111">
        <v>5</v>
      </c>
      <c r="I111">
        <v>0</v>
      </c>
      <c r="J111">
        <v>0</v>
      </c>
    </row>
    <row r="112" spans="1:10" x14ac:dyDescent="0.25">
      <c r="A112" t="s">
        <v>809</v>
      </c>
      <c r="B112" t="s">
        <v>1112</v>
      </c>
      <c r="C112" t="s">
        <v>1109</v>
      </c>
      <c r="D112" t="s">
        <v>839</v>
      </c>
      <c r="E112" t="s">
        <v>839</v>
      </c>
      <c r="F112">
        <v>40</v>
      </c>
      <c r="G112">
        <v>3</v>
      </c>
      <c r="H112">
        <v>5</v>
      </c>
      <c r="I112">
        <v>0</v>
      </c>
      <c r="J112">
        <v>0</v>
      </c>
    </row>
    <row r="113" spans="1:10" x14ac:dyDescent="0.25">
      <c r="A113" t="s">
        <v>207</v>
      </c>
      <c r="B113" t="s">
        <v>208</v>
      </c>
      <c r="C113" t="s">
        <v>905</v>
      </c>
      <c r="D113" t="s">
        <v>672</v>
      </c>
      <c r="E113" t="s">
        <v>672</v>
      </c>
      <c r="F113">
        <v>40</v>
      </c>
      <c r="G113">
        <v>3</v>
      </c>
      <c r="H113">
        <v>5</v>
      </c>
      <c r="I113">
        <v>0</v>
      </c>
      <c r="J113">
        <v>0</v>
      </c>
    </row>
    <row r="114" spans="1:10" x14ac:dyDescent="0.25">
      <c r="A114" t="s">
        <v>209</v>
      </c>
      <c r="B114" t="s">
        <v>333</v>
      </c>
      <c r="C114" t="s">
        <v>904</v>
      </c>
      <c r="D114" t="s">
        <v>673</v>
      </c>
      <c r="E114" t="s">
        <v>673</v>
      </c>
      <c r="F114">
        <v>40</v>
      </c>
      <c r="G114">
        <v>3</v>
      </c>
      <c r="H114">
        <v>0</v>
      </c>
      <c r="I114">
        <v>0</v>
      </c>
      <c r="J114">
        <v>0</v>
      </c>
    </row>
    <row r="115" spans="1:10" x14ac:dyDescent="0.25">
      <c r="A115" t="s">
        <v>211</v>
      </c>
      <c r="B115" t="s">
        <v>1163</v>
      </c>
      <c r="C115" t="s">
        <v>905</v>
      </c>
      <c r="D115" t="s">
        <v>674</v>
      </c>
      <c r="E115" t="s">
        <v>674</v>
      </c>
      <c r="F115">
        <v>40</v>
      </c>
      <c r="G115">
        <v>3</v>
      </c>
      <c r="H115">
        <v>5</v>
      </c>
      <c r="I115">
        <v>0</v>
      </c>
      <c r="J115">
        <v>0</v>
      </c>
    </row>
    <row r="116" spans="1:10" x14ac:dyDescent="0.25">
      <c r="A116" t="s">
        <v>213</v>
      </c>
      <c r="B116" t="s">
        <v>822</v>
      </c>
      <c r="C116" s="15" t="s">
        <v>937</v>
      </c>
      <c r="D116" t="s">
        <v>675</v>
      </c>
      <c r="E116" t="s">
        <v>675</v>
      </c>
      <c r="F116">
        <v>40</v>
      </c>
      <c r="G116">
        <v>3</v>
      </c>
      <c r="H116">
        <v>3</v>
      </c>
      <c r="I116">
        <v>0</v>
      </c>
      <c r="J116">
        <v>0</v>
      </c>
    </row>
    <row r="117" spans="1:10" x14ac:dyDescent="0.25">
      <c r="A117" t="s">
        <v>215</v>
      </c>
      <c r="B117" t="s">
        <v>584</v>
      </c>
      <c r="C117" t="s">
        <v>1134</v>
      </c>
      <c r="D117" t="s">
        <v>676</v>
      </c>
      <c r="E117" t="s">
        <v>676</v>
      </c>
      <c r="F117">
        <v>40</v>
      </c>
      <c r="G117">
        <v>3</v>
      </c>
      <c r="H117">
        <v>5</v>
      </c>
      <c r="I117">
        <v>0</v>
      </c>
      <c r="J117">
        <v>0</v>
      </c>
    </row>
    <row r="118" spans="1:10" s="14" customFormat="1" x14ac:dyDescent="0.25">
      <c r="A118" s="14" t="s">
        <v>1121</v>
      </c>
      <c r="B118" s="14" t="s">
        <v>1163</v>
      </c>
      <c r="C118" s="14" t="s">
        <v>1126</v>
      </c>
      <c r="D118" s="14" t="s">
        <v>1122</v>
      </c>
      <c r="E118" s="14" t="s">
        <v>1122</v>
      </c>
      <c r="F118" s="14">
        <v>40</v>
      </c>
      <c r="G118" s="14">
        <v>3</v>
      </c>
      <c r="H118" s="14">
        <v>5</v>
      </c>
      <c r="I118" s="14">
        <v>0</v>
      </c>
      <c r="J118" s="14">
        <v>0</v>
      </c>
    </row>
    <row r="119" spans="1:10" x14ac:dyDescent="0.25">
      <c r="A119" t="s">
        <v>216</v>
      </c>
      <c r="B119" t="s">
        <v>584</v>
      </c>
      <c r="C119" t="s">
        <v>905</v>
      </c>
      <c r="D119" t="s">
        <v>677</v>
      </c>
      <c r="E119" t="s">
        <v>677</v>
      </c>
      <c r="F119">
        <v>40</v>
      </c>
      <c r="G119">
        <v>3</v>
      </c>
      <c r="H119">
        <v>5</v>
      </c>
      <c r="I119">
        <v>0</v>
      </c>
      <c r="J119">
        <v>0</v>
      </c>
    </row>
    <row r="120" spans="1:10" x14ac:dyDescent="0.25">
      <c r="A120" t="s">
        <v>217</v>
      </c>
      <c r="B120" t="s">
        <v>977</v>
      </c>
      <c r="C120" t="s">
        <v>905</v>
      </c>
      <c r="D120" t="s">
        <v>678</v>
      </c>
      <c r="E120" t="s">
        <v>678</v>
      </c>
      <c r="F120">
        <v>40</v>
      </c>
      <c r="G120">
        <v>3</v>
      </c>
      <c r="H120">
        <v>0</v>
      </c>
      <c r="I120">
        <v>0</v>
      </c>
      <c r="J120">
        <v>0</v>
      </c>
    </row>
    <row r="121" spans="1:10" x14ac:dyDescent="0.25">
      <c r="A121" t="s">
        <v>218</v>
      </c>
      <c r="B121" t="s">
        <v>111</v>
      </c>
      <c r="C121" t="s">
        <v>904</v>
      </c>
      <c r="D121" t="s">
        <v>679</v>
      </c>
      <c r="E121" t="s">
        <v>679</v>
      </c>
      <c r="F121">
        <v>40</v>
      </c>
      <c r="G121">
        <v>3</v>
      </c>
      <c r="H121">
        <v>0</v>
      </c>
      <c r="I121">
        <v>0</v>
      </c>
      <c r="J121">
        <v>0</v>
      </c>
    </row>
    <row r="122" spans="1:10" x14ac:dyDescent="0.25">
      <c r="A122" s="15" t="s">
        <v>1281</v>
      </c>
      <c r="B122" s="15" t="s">
        <v>584</v>
      </c>
      <c r="C122" s="15" t="s">
        <v>904</v>
      </c>
      <c r="D122" s="15" t="s">
        <v>1282</v>
      </c>
      <c r="E122" s="15" t="s">
        <v>1282</v>
      </c>
      <c r="F122" s="15">
        <v>40</v>
      </c>
      <c r="G122" s="15">
        <v>3</v>
      </c>
      <c r="H122" s="15">
        <v>0</v>
      </c>
      <c r="I122" s="15">
        <v>0</v>
      </c>
      <c r="J122" s="15">
        <v>0</v>
      </c>
    </row>
    <row r="123" spans="1:10" s="14" customFormat="1" x14ac:dyDescent="0.25">
      <c r="A123" s="14" t="s">
        <v>382</v>
      </c>
      <c r="B123" s="14" t="s">
        <v>585</v>
      </c>
      <c r="C123" s="14" t="s">
        <v>904</v>
      </c>
      <c r="D123" s="14" t="s">
        <v>1123</v>
      </c>
      <c r="E123" s="14" t="s">
        <v>1123</v>
      </c>
      <c r="F123" s="14">
        <v>40</v>
      </c>
      <c r="G123" s="14">
        <v>3</v>
      </c>
      <c r="H123" s="14">
        <v>0</v>
      </c>
      <c r="I123" s="14">
        <v>0</v>
      </c>
      <c r="J123" s="14">
        <v>0</v>
      </c>
    </row>
    <row r="124" spans="1:10" x14ac:dyDescent="0.25">
      <c r="A124" t="s">
        <v>219</v>
      </c>
      <c r="B124" t="s">
        <v>584</v>
      </c>
      <c r="C124" t="s">
        <v>905</v>
      </c>
      <c r="D124" t="s">
        <v>680</v>
      </c>
      <c r="E124" t="s">
        <v>680</v>
      </c>
      <c r="F124">
        <v>40</v>
      </c>
      <c r="G124">
        <v>3</v>
      </c>
      <c r="H124">
        <v>5</v>
      </c>
      <c r="I124">
        <v>0</v>
      </c>
      <c r="J124">
        <v>0</v>
      </c>
    </row>
    <row r="125" spans="1:10" x14ac:dyDescent="0.25">
      <c r="A125" t="s">
        <v>220</v>
      </c>
      <c r="B125" t="s">
        <v>584</v>
      </c>
      <c r="C125" t="s">
        <v>905</v>
      </c>
      <c r="D125" t="s">
        <v>681</v>
      </c>
      <c r="E125" t="s">
        <v>681</v>
      </c>
      <c r="F125">
        <v>40</v>
      </c>
      <c r="G125">
        <v>3</v>
      </c>
      <c r="H125">
        <v>5</v>
      </c>
      <c r="I125">
        <v>0</v>
      </c>
      <c r="J125">
        <v>0</v>
      </c>
    </row>
    <row r="126" spans="1:10" x14ac:dyDescent="0.25">
      <c r="A126" t="s">
        <v>221</v>
      </c>
      <c r="B126" t="s">
        <v>584</v>
      </c>
      <c r="C126" t="s">
        <v>905</v>
      </c>
      <c r="D126" t="s">
        <v>682</v>
      </c>
      <c r="E126" t="s">
        <v>682</v>
      </c>
      <c r="F126">
        <v>40</v>
      </c>
      <c r="G126">
        <v>3</v>
      </c>
      <c r="H126">
        <v>5</v>
      </c>
      <c r="I126">
        <v>0</v>
      </c>
      <c r="J126">
        <v>0</v>
      </c>
    </row>
    <row r="127" spans="1:10" x14ac:dyDescent="0.25">
      <c r="A127" t="s">
        <v>222</v>
      </c>
      <c r="B127" t="s">
        <v>977</v>
      </c>
      <c r="C127" s="15" t="s">
        <v>906</v>
      </c>
      <c r="D127" t="s">
        <v>683</v>
      </c>
      <c r="E127" t="s">
        <v>683</v>
      </c>
      <c r="F127">
        <v>40</v>
      </c>
      <c r="G127">
        <v>3</v>
      </c>
      <c r="H127">
        <v>0</v>
      </c>
      <c r="I127">
        <v>0</v>
      </c>
      <c r="J127">
        <v>0</v>
      </c>
    </row>
    <row r="128" spans="1:10" x14ac:dyDescent="0.25">
      <c r="A128" t="s">
        <v>223</v>
      </c>
      <c r="B128" t="s">
        <v>1163</v>
      </c>
      <c r="C128" t="s">
        <v>904</v>
      </c>
      <c r="D128" t="s">
        <v>684</v>
      </c>
      <c r="E128" t="s">
        <v>684</v>
      </c>
      <c r="F128">
        <v>40</v>
      </c>
      <c r="G128">
        <v>3</v>
      </c>
      <c r="H128">
        <v>0</v>
      </c>
      <c r="I128">
        <v>0</v>
      </c>
      <c r="J128">
        <v>0</v>
      </c>
    </row>
    <row r="129" spans="1:10" x14ac:dyDescent="0.25">
      <c r="A129" s="15" t="s">
        <v>1283</v>
      </c>
      <c r="B129" s="15" t="s">
        <v>1284</v>
      </c>
      <c r="C129" s="15" t="s">
        <v>905</v>
      </c>
      <c r="D129" s="15" t="s">
        <v>1285</v>
      </c>
      <c r="E129" s="15" t="s">
        <v>1285</v>
      </c>
      <c r="F129" s="15">
        <v>40</v>
      </c>
      <c r="G129" s="15">
        <v>3</v>
      </c>
      <c r="H129" s="15">
        <v>5</v>
      </c>
      <c r="I129" s="15">
        <v>0</v>
      </c>
      <c r="J129" s="15">
        <v>0</v>
      </c>
    </row>
    <row r="130" spans="1:10" x14ac:dyDescent="0.25">
      <c r="A130" t="s">
        <v>224</v>
      </c>
      <c r="B130" t="s">
        <v>111</v>
      </c>
      <c r="C130" t="s">
        <v>904</v>
      </c>
      <c r="D130" t="s">
        <v>685</v>
      </c>
      <c r="E130" t="s">
        <v>685</v>
      </c>
      <c r="F130">
        <v>40</v>
      </c>
      <c r="G130">
        <v>3</v>
      </c>
      <c r="H130">
        <v>0</v>
      </c>
      <c r="I130">
        <v>0</v>
      </c>
      <c r="J130">
        <v>0</v>
      </c>
    </row>
    <row r="131" spans="1:10" x14ac:dyDescent="0.25">
      <c r="A131" t="s">
        <v>225</v>
      </c>
      <c r="B131" t="s">
        <v>226</v>
      </c>
      <c r="C131" t="s">
        <v>905</v>
      </c>
      <c r="D131" t="s">
        <v>686</v>
      </c>
      <c r="E131" t="s">
        <v>686</v>
      </c>
      <c r="F131">
        <v>40</v>
      </c>
      <c r="G131">
        <v>3</v>
      </c>
      <c r="H131">
        <v>5</v>
      </c>
      <c r="I131">
        <v>0</v>
      </c>
      <c r="J131">
        <v>0</v>
      </c>
    </row>
    <row r="132" spans="1:10" x14ac:dyDescent="0.25">
      <c r="A132" t="s">
        <v>227</v>
      </c>
      <c r="B132" t="s">
        <v>149</v>
      </c>
      <c r="C132" t="s">
        <v>904</v>
      </c>
      <c r="D132" t="s">
        <v>687</v>
      </c>
      <c r="E132" t="s">
        <v>687</v>
      </c>
      <c r="F132">
        <v>40</v>
      </c>
      <c r="G132">
        <v>3</v>
      </c>
      <c r="H132">
        <v>0</v>
      </c>
      <c r="I132">
        <v>0</v>
      </c>
      <c r="J132">
        <v>0</v>
      </c>
    </row>
    <row r="133" spans="1:10" x14ac:dyDescent="0.25">
      <c r="A133" s="15" t="s">
        <v>1321</v>
      </c>
      <c r="B133" s="15" t="s">
        <v>584</v>
      </c>
      <c r="C133" s="15" t="s">
        <v>904</v>
      </c>
      <c r="D133" s="15" t="s">
        <v>1322</v>
      </c>
      <c r="E133" s="15" t="s">
        <v>1322</v>
      </c>
      <c r="F133" s="15">
        <v>40</v>
      </c>
      <c r="G133" s="15">
        <v>3</v>
      </c>
      <c r="H133" s="15">
        <v>0</v>
      </c>
      <c r="I133" s="15">
        <v>0</v>
      </c>
      <c r="J133" s="15">
        <v>0</v>
      </c>
    </row>
    <row r="134" spans="1:10" x14ac:dyDescent="0.25">
      <c r="A134" t="s">
        <v>228</v>
      </c>
      <c r="B134" t="s">
        <v>584</v>
      </c>
      <c r="C134" t="s">
        <v>905</v>
      </c>
      <c r="D134" t="s">
        <v>688</v>
      </c>
      <c r="E134" t="s">
        <v>688</v>
      </c>
      <c r="F134">
        <v>40</v>
      </c>
      <c r="G134">
        <v>3</v>
      </c>
      <c r="H134">
        <v>5</v>
      </c>
      <c r="I134">
        <v>0</v>
      </c>
      <c r="J134">
        <v>0</v>
      </c>
    </row>
    <row r="135" spans="1:10" x14ac:dyDescent="0.25">
      <c r="A135" t="s">
        <v>229</v>
      </c>
      <c r="B135" t="s">
        <v>979</v>
      </c>
      <c r="C135" t="s">
        <v>904</v>
      </c>
      <c r="D135" t="s">
        <v>689</v>
      </c>
      <c r="E135" t="s">
        <v>689</v>
      </c>
      <c r="F135">
        <v>40</v>
      </c>
      <c r="G135">
        <v>3</v>
      </c>
      <c r="H135">
        <v>0</v>
      </c>
      <c r="I135">
        <v>0</v>
      </c>
      <c r="J135">
        <v>0</v>
      </c>
    </row>
    <row r="136" spans="1:10" x14ac:dyDescent="0.25">
      <c r="A136" t="s">
        <v>230</v>
      </c>
      <c r="B136" t="s">
        <v>584</v>
      </c>
      <c r="C136" t="s">
        <v>905</v>
      </c>
      <c r="D136" t="s">
        <v>690</v>
      </c>
      <c r="E136" t="s">
        <v>690</v>
      </c>
      <c r="F136">
        <v>40</v>
      </c>
      <c r="G136">
        <v>3</v>
      </c>
      <c r="H136">
        <v>5</v>
      </c>
      <c r="I136">
        <v>0</v>
      </c>
      <c r="J136">
        <v>0</v>
      </c>
    </row>
    <row r="137" spans="1:10" x14ac:dyDescent="0.25">
      <c r="A137" t="s">
        <v>231</v>
      </c>
      <c r="B137" t="s">
        <v>111</v>
      </c>
      <c r="C137" t="s">
        <v>904</v>
      </c>
      <c r="D137" t="s">
        <v>691</v>
      </c>
      <c r="E137" t="s">
        <v>691</v>
      </c>
      <c r="F137">
        <v>40</v>
      </c>
      <c r="G137">
        <v>3</v>
      </c>
      <c r="H137">
        <v>0</v>
      </c>
      <c r="I137">
        <v>0</v>
      </c>
      <c r="J137">
        <v>0</v>
      </c>
    </row>
    <row r="138" spans="1:10" x14ac:dyDescent="0.25">
      <c r="A138" t="s">
        <v>232</v>
      </c>
      <c r="B138" t="s">
        <v>1163</v>
      </c>
      <c r="C138" t="s">
        <v>905</v>
      </c>
      <c r="D138" t="s">
        <v>692</v>
      </c>
      <c r="E138" t="s">
        <v>692</v>
      </c>
      <c r="F138">
        <v>40</v>
      </c>
      <c r="G138">
        <v>3</v>
      </c>
      <c r="H138">
        <v>5</v>
      </c>
      <c r="I138">
        <v>0</v>
      </c>
      <c r="J138">
        <v>0</v>
      </c>
    </row>
    <row r="139" spans="1:10" x14ac:dyDescent="0.25">
      <c r="A139" t="s">
        <v>233</v>
      </c>
      <c r="B139" t="s">
        <v>111</v>
      </c>
      <c r="C139" t="s">
        <v>905</v>
      </c>
      <c r="D139" t="s">
        <v>693</v>
      </c>
      <c r="E139" t="s">
        <v>693</v>
      </c>
      <c r="F139">
        <v>40</v>
      </c>
      <c r="G139">
        <v>3</v>
      </c>
      <c r="H139">
        <v>5</v>
      </c>
      <c r="I139">
        <v>0</v>
      </c>
      <c r="J139">
        <v>0</v>
      </c>
    </row>
    <row r="140" spans="1:10" x14ac:dyDescent="0.25">
      <c r="A140" t="s">
        <v>234</v>
      </c>
      <c r="B140" t="s">
        <v>865</v>
      </c>
      <c r="C140" t="s">
        <v>1206</v>
      </c>
      <c r="D140" t="s">
        <v>694</v>
      </c>
      <c r="E140" t="s">
        <v>694</v>
      </c>
      <c r="F140">
        <v>40</v>
      </c>
      <c r="G140">
        <v>3</v>
      </c>
      <c r="H140">
        <v>5</v>
      </c>
      <c r="I140">
        <v>0</v>
      </c>
      <c r="J140">
        <v>0</v>
      </c>
    </row>
    <row r="141" spans="1:10" x14ac:dyDescent="0.25">
      <c r="A141" t="s">
        <v>235</v>
      </c>
      <c r="B141" t="s">
        <v>979</v>
      </c>
      <c r="C141" t="s">
        <v>904</v>
      </c>
      <c r="D141" t="s">
        <v>695</v>
      </c>
      <c r="E141" t="s">
        <v>695</v>
      </c>
      <c r="F141">
        <v>40</v>
      </c>
      <c r="G141">
        <v>3</v>
      </c>
      <c r="H141">
        <v>0</v>
      </c>
      <c r="I141">
        <v>0</v>
      </c>
      <c r="J141">
        <v>0</v>
      </c>
    </row>
    <row r="142" spans="1:10" x14ac:dyDescent="0.25">
      <c r="A142" t="s">
        <v>236</v>
      </c>
      <c r="B142" t="s">
        <v>1163</v>
      </c>
      <c r="C142" t="s">
        <v>905</v>
      </c>
      <c r="D142" t="s">
        <v>696</v>
      </c>
      <c r="E142" t="s">
        <v>696</v>
      </c>
      <c r="F142">
        <v>40</v>
      </c>
      <c r="G142">
        <v>3</v>
      </c>
      <c r="H142">
        <v>5</v>
      </c>
      <c r="I142">
        <v>0</v>
      </c>
      <c r="J142">
        <v>0</v>
      </c>
    </row>
    <row r="143" spans="1:10" x14ac:dyDescent="0.25">
      <c r="A143" t="s">
        <v>237</v>
      </c>
      <c r="B143" t="s">
        <v>1163</v>
      </c>
      <c r="C143" t="s">
        <v>905</v>
      </c>
      <c r="D143" t="s">
        <v>697</v>
      </c>
      <c r="E143" t="s">
        <v>697</v>
      </c>
      <c r="F143">
        <v>40</v>
      </c>
      <c r="G143">
        <v>3</v>
      </c>
      <c r="H143">
        <v>5</v>
      </c>
      <c r="I143">
        <v>0</v>
      </c>
      <c r="J143">
        <v>0</v>
      </c>
    </row>
    <row r="144" spans="1:10" x14ac:dyDescent="0.25">
      <c r="A144" t="s">
        <v>238</v>
      </c>
      <c r="B144" t="s">
        <v>977</v>
      </c>
      <c r="C144" t="s">
        <v>905</v>
      </c>
      <c r="D144" t="s">
        <v>698</v>
      </c>
      <c r="E144" t="s">
        <v>698</v>
      </c>
      <c r="F144">
        <v>40</v>
      </c>
      <c r="G144">
        <v>3</v>
      </c>
      <c r="H144">
        <v>5</v>
      </c>
      <c r="I144">
        <v>0</v>
      </c>
      <c r="J144">
        <v>0</v>
      </c>
    </row>
    <row r="145" spans="1:10" x14ac:dyDescent="0.25">
      <c r="A145" t="s">
        <v>239</v>
      </c>
      <c r="B145" t="s">
        <v>1163</v>
      </c>
      <c r="C145" t="s">
        <v>904</v>
      </c>
      <c r="D145" t="s">
        <v>699</v>
      </c>
      <c r="E145" t="s">
        <v>699</v>
      </c>
      <c r="F145">
        <v>40</v>
      </c>
      <c r="G145">
        <v>3</v>
      </c>
      <c r="H145">
        <v>0</v>
      </c>
      <c r="I145">
        <v>0</v>
      </c>
      <c r="J145">
        <v>0</v>
      </c>
    </row>
    <row r="146" spans="1:10" x14ac:dyDescent="0.25">
      <c r="A146" t="s">
        <v>810</v>
      </c>
      <c r="B146" t="s">
        <v>1112</v>
      </c>
      <c r="C146" t="s">
        <v>906</v>
      </c>
      <c r="D146" t="s">
        <v>840</v>
      </c>
      <c r="E146" t="s">
        <v>840</v>
      </c>
      <c r="F146">
        <v>40</v>
      </c>
      <c r="G146">
        <v>3</v>
      </c>
      <c r="H146">
        <v>5</v>
      </c>
      <c r="I146">
        <v>0</v>
      </c>
      <c r="J146">
        <v>0</v>
      </c>
    </row>
    <row r="147" spans="1:10" x14ac:dyDescent="0.25">
      <c r="A147" t="s">
        <v>240</v>
      </c>
      <c r="B147" t="s">
        <v>175</v>
      </c>
      <c r="C147" t="s">
        <v>905</v>
      </c>
      <c r="D147" t="s">
        <v>700</v>
      </c>
      <c r="E147" t="s">
        <v>700</v>
      </c>
      <c r="F147">
        <v>40</v>
      </c>
      <c r="G147">
        <v>3</v>
      </c>
      <c r="H147">
        <v>5</v>
      </c>
      <c r="I147">
        <v>0</v>
      </c>
      <c r="J147">
        <v>0</v>
      </c>
    </row>
    <row r="148" spans="1:10" x14ac:dyDescent="0.25">
      <c r="A148" s="15" t="s">
        <v>1286</v>
      </c>
      <c r="B148" s="15" t="s">
        <v>111</v>
      </c>
      <c r="C148" s="15" t="s">
        <v>904</v>
      </c>
      <c r="D148" s="15" t="s">
        <v>1287</v>
      </c>
      <c r="E148" s="15" t="s">
        <v>1287</v>
      </c>
      <c r="F148" s="15">
        <v>40</v>
      </c>
      <c r="G148" s="15">
        <v>3</v>
      </c>
      <c r="H148" s="15">
        <v>0</v>
      </c>
      <c r="I148" s="15">
        <v>0</v>
      </c>
      <c r="J148" s="15">
        <v>0</v>
      </c>
    </row>
    <row r="149" spans="1:10" x14ac:dyDescent="0.25">
      <c r="A149" t="s">
        <v>787</v>
      </c>
      <c r="B149" t="s">
        <v>134</v>
      </c>
      <c r="C149" t="s">
        <v>904</v>
      </c>
      <c r="D149" t="s">
        <v>788</v>
      </c>
      <c r="E149" t="s">
        <v>788</v>
      </c>
      <c r="F149">
        <v>40</v>
      </c>
      <c r="G149">
        <v>3</v>
      </c>
      <c r="H149">
        <v>0</v>
      </c>
      <c r="I149">
        <v>0</v>
      </c>
      <c r="J149">
        <v>0</v>
      </c>
    </row>
    <row r="150" spans="1:10" x14ac:dyDescent="0.25">
      <c r="A150" t="s">
        <v>241</v>
      </c>
      <c r="B150" t="s">
        <v>537</v>
      </c>
      <c r="C150" t="s">
        <v>905</v>
      </c>
      <c r="D150" t="s">
        <v>701</v>
      </c>
      <c r="E150" t="s">
        <v>701</v>
      </c>
      <c r="F150">
        <v>40</v>
      </c>
      <c r="G150">
        <v>3</v>
      </c>
      <c r="H150">
        <v>5</v>
      </c>
      <c r="I150">
        <v>0</v>
      </c>
      <c r="J150">
        <v>0</v>
      </c>
    </row>
    <row r="151" spans="1:10" x14ac:dyDescent="0.25">
      <c r="A151" t="s">
        <v>242</v>
      </c>
      <c r="B151" s="15" t="s">
        <v>1288</v>
      </c>
      <c r="C151" t="s">
        <v>904</v>
      </c>
      <c r="D151" t="s">
        <v>702</v>
      </c>
      <c r="E151" t="s">
        <v>702</v>
      </c>
      <c r="F151">
        <v>40</v>
      </c>
      <c r="G151">
        <v>3</v>
      </c>
      <c r="H151">
        <v>0</v>
      </c>
      <c r="I151">
        <v>0</v>
      </c>
      <c r="J151">
        <v>0</v>
      </c>
    </row>
    <row r="152" spans="1:10" x14ac:dyDescent="0.25">
      <c r="A152" t="s">
        <v>243</v>
      </c>
      <c r="B152" t="s">
        <v>584</v>
      </c>
      <c r="C152" t="s">
        <v>905</v>
      </c>
      <c r="D152" t="s">
        <v>703</v>
      </c>
      <c r="E152" t="s">
        <v>703</v>
      </c>
      <c r="F152">
        <v>40</v>
      </c>
      <c r="G152">
        <v>3</v>
      </c>
      <c r="H152">
        <v>5</v>
      </c>
      <c r="I152">
        <v>0</v>
      </c>
      <c r="J152">
        <v>0</v>
      </c>
    </row>
    <row r="153" spans="1:10" x14ac:dyDescent="0.25">
      <c r="A153" t="s">
        <v>244</v>
      </c>
      <c r="B153" t="s">
        <v>584</v>
      </c>
      <c r="C153" t="s">
        <v>905</v>
      </c>
      <c r="D153" t="s">
        <v>704</v>
      </c>
      <c r="E153" t="s">
        <v>704</v>
      </c>
      <c r="F153">
        <v>40</v>
      </c>
      <c r="G153">
        <v>3</v>
      </c>
      <c r="H153">
        <v>5</v>
      </c>
      <c r="I153">
        <v>0</v>
      </c>
      <c r="J153">
        <v>0</v>
      </c>
    </row>
    <row r="154" spans="1:10" x14ac:dyDescent="0.25">
      <c r="A154" s="7" t="s">
        <v>811</v>
      </c>
      <c r="B154" t="s">
        <v>584</v>
      </c>
      <c r="C154" t="s">
        <v>905</v>
      </c>
      <c r="D154" t="s">
        <v>841</v>
      </c>
      <c r="E154" t="s">
        <v>841</v>
      </c>
      <c r="F154">
        <v>40</v>
      </c>
      <c r="G154">
        <v>3</v>
      </c>
      <c r="H154">
        <v>5</v>
      </c>
      <c r="I154">
        <v>0</v>
      </c>
      <c r="J154">
        <v>0</v>
      </c>
    </row>
    <row r="155" spans="1:10" x14ac:dyDescent="0.25">
      <c r="A155" t="s">
        <v>245</v>
      </c>
      <c r="B155" t="s">
        <v>1011</v>
      </c>
      <c r="C155" s="14" t="s">
        <v>1109</v>
      </c>
      <c r="D155" t="s">
        <v>705</v>
      </c>
      <c r="E155" t="s">
        <v>705</v>
      </c>
      <c r="F155">
        <v>40</v>
      </c>
      <c r="G155">
        <v>3</v>
      </c>
      <c r="H155">
        <v>5</v>
      </c>
      <c r="I155">
        <v>0</v>
      </c>
      <c r="J155">
        <v>0</v>
      </c>
    </row>
    <row r="156" spans="1:10" x14ac:dyDescent="0.25">
      <c r="A156" s="15" t="s">
        <v>1289</v>
      </c>
      <c r="B156" s="15" t="s">
        <v>111</v>
      </c>
      <c r="C156" s="15" t="s">
        <v>904</v>
      </c>
      <c r="D156" s="15" t="s">
        <v>1290</v>
      </c>
      <c r="E156" s="15" t="s">
        <v>1290</v>
      </c>
      <c r="F156" s="15">
        <v>40</v>
      </c>
      <c r="G156" s="15">
        <v>3</v>
      </c>
      <c r="H156" s="15">
        <v>0</v>
      </c>
      <c r="I156" s="15">
        <v>0</v>
      </c>
      <c r="J156" s="15">
        <v>0</v>
      </c>
    </row>
    <row r="157" spans="1:10" x14ac:dyDescent="0.25">
      <c r="A157" t="s">
        <v>246</v>
      </c>
      <c r="B157" t="s">
        <v>149</v>
      </c>
      <c r="C157" t="s">
        <v>904</v>
      </c>
      <c r="D157" t="s">
        <v>706</v>
      </c>
      <c r="E157" t="s">
        <v>706</v>
      </c>
      <c r="F157">
        <v>40</v>
      </c>
      <c r="G157">
        <v>3</v>
      </c>
      <c r="H157">
        <v>0</v>
      </c>
      <c r="I157">
        <v>0</v>
      </c>
      <c r="J157">
        <v>0</v>
      </c>
    </row>
    <row r="158" spans="1:10" x14ac:dyDescent="0.25">
      <c r="A158" t="s">
        <v>247</v>
      </c>
      <c r="B158" t="s">
        <v>116</v>
      </c>
      <c r="C158" s="15" t="s">
        <v>1221</v>
      </c>
      <c r="D158" t="s">
        <v>707</v>
      </c>
      <c r="E158" t="s">
        <v>707</v>
      </c>
      <c r="F158">
        <v>40</v>
      </c>
      <c r="G158">
        <v>3</v>
      </c>
      <c r="H158">
        <v>5</v>
      </c>
      <c r="I158">
        <v>0</v>
      </c>
      <c r="J158">
        <v>8</v>
      </c>
    </row>
    <row r="159" spans="1:10" x14ac:dyDescent="0.25">
      <c r="A159" t="s">
        <v>248</v>
      </c>
      <c r="B159" t="s">
        <v>1016</v>
      </c>
      <c r="C159" t="s">
        <v>904</v>
      </c>
      <c r="D159" t="s">
        <v>708</v>
      </c>
      <c r="E159" t="s">
        <v>708</v>
      </c>
      <c r="F159">
        <v>40</v>
      </c>
      <c r="G159">
        <v>3</v>
      </c>
      <c r="H159">
        <v>0</v>
      </c>
      <c r="I159">
        <v>0</v>
      </c>
      <c r="J159">
        <v>0</v>
      </c>
    </row>
    <row r="160" spans="1:10" x14ac:dyDescent="0.25">
      <c r="A160" t="s">
        <v>812</v>
      </c>
      <c r="B160" t="s">
        <v>1011</v>
      </c>
      <c r="C160" s="14" t="s">
        <v>1109</v>
      </c>
      <c r="D160" t="s">
        <v>842</v>
      </c>
      <c r="E160" t="s">
        <v>842</v>
      </c>
      <c r="F160">
        <v>40</v>
      </c>
      <c r="G160">
        <v>3</v>
      </c>
      <c r="H160">
        <v>5</v>
      </c>
      <c r="I160">
        <v>0</v>
      </c>
      <c r="J160">
        <v>0</v>
      </c>
    </row>
    <row r="161" spans="1:10" x14ac:dyDescent="0.25">
      <c r="A161" s="7" t="s">
        <v>813</v>
      </c>
      <c r="B161" t="s">
        <v>1020</v>
      </c>
      <c r="C161" t="s">
        <v>1109</v>
      </c>
      <c r="D161" t="s">
        <v>843</v>
      </c>
      <c r="E161" t="s">
        <v>843</v>
      </c>
      <c r="F161">
        <v>40</v>
      </c>
      <c r="G161">
        <v>3</v>
      </c>
      <c r="H161">
        <v>5</v>
      </c>
      <c r="I161">
        <v>0</v>
      </c>
      <c r="J161">
        <v>0</v>
      </c>
    </row>
    <row r="162" spans="1:10" x14ac:dyDescent="0.25">
      <c r="A162" t="s">
        <v>249</v>
      </c>
      <c r="B162" t="s">
        <v>584</v>
      </c>
      <c r="C162" t="s">
        <v>905</v>
      </c>
      <c r="D162" t="s">
        <v>709</v>
      </c>
      <c r="E162" t="s">
        <v>709</v>
      </c>
      <c r="F162">
        <v>40</v>
      </c>
      <c r="G162">
        <v>3</v>
      </c>
      <c r="H162">
        <v>5</v>
      </c>
      <c r="I162">
        <v>0</v>
      </c>
      <c r="J162">
        <v>0</v>
      </c>
    </row>
    <row r="163" spans="1:10" x14ac:dyDescent="0.25">
      <c r="A163" t="s">
        <v>250</v>
      </c>
      <c r="B163" t="s">
        <v>111</v>
      </c>
      <c r="C163" t="s">
        <v>904</v>
      </c>
      <c r="D163" t="s">
        <v>710</v>
      </c>
      <c r="E163" t="s">
        <v>710</v>
      </c>
      <c r="F163">
        <v>40</v>
      </c>
      <c r="G163">
        <v>3</v>
      </c>
      <c r="H163">
        <v>0</v>
      </c>
      <c r="I163">
        <v>0</v>
      </c>
      <c r="J163">
        <v>0</v>
      </c>
    </row>
    <row r="164" spans="1:10" x14ac:dyDescent="0.25">
      <c r="A164" t="s">
        <v>251</v>
      </c>
      <c r="B164" t="s">
        <v>1143</v>
      </c>
      <c r="C164" s="15" t="s">
        <v>905</v>
      </c>
      <c r="D164" t="s">
        <v>711</v>
      </c>
      <c r="E164" t="s">
        <v>711</v>
      </c>
      <c r="F164">
        <v>40</v>
      </c>
      <c r="G164">
        <v>3</v>
      </c>
      <c r="H164">
        <v>0</v>
      </c>
      <c r="I164">
        <v>0</v>
      </c>
      <c r="J164">
        <v>0</v>
      </c>
    </row>
    <row r="165" spans="1:10" x14ac:dyDescent="0.25">
      <c r="A165" t="s">
        <v>252</v>
      </c>
      <c r="B165" t="s">
        <v>979</v>
      </c>
      <c r="C165" t="s">
        <v>904</v>
      </c>
      <c r="D165" t="s">
        <v>712</v>
      </c>
      <c r="E165" t="s">
        <v>712</v>
      </c>
      <c r="F165">
        <v>40</v>
      </c>
      <c r="G165">
        <v>3</v>
      </c>
      <c r="H165">
        <v>0</v>
      </c>
      <c r="I165">
        <v>0</v>
      </c>
      <c r="J165">
        <v>0</v>
      </c>
    </row>
    <row r="166" spans="1:10" x14ac:dyDescent="0.25">
      <c r="A166" t="s">
        <v>253</v>
      </c>
      <c r="B166" t="s">
        <v>542</v>
      </c>
      <c r="C166" t="s">
        <v>904</v>
      </c>
      <c r="D166" t="s">
        <v>713</v>
      </c>
      <c r="E166" t="s">
        <v>713</v>
      </c>
      <c r="F166">
        <v>40</v>
      </c>
      <c r="G166">
        <v>3</v>
      </c>
      <c r="H166">
        <v>0</v>
      </c>
      <c r="I166">
        <v>0</v>
      </c>
      <c r="J166">
        <v>0</v>
      </c>
    </row>
    <row r="167" spans="1:10" x14ac:dyDescent="0.25">
      <c r="A167" t="s">
        <v>254</v>
      </c>
      <c r="B167" t="s">
        <v>977</v>
      </c>
      <c r="C167" t="s">
        <v>904</v>
      </c>
      <c r="D167" t="s">
        <v>714</v>
      </c>
      <c r="E167" t="s">
        <v>714</v>
      </c>
      <c r="F167">
        <v>40</v>
      </c>
      <c r="G167">
        <v>3</v>
      </c>
      <c r="H167">
        <v>0</v>
      </c>
      <c r="I167">
        <v>0</v>
      </c>
      <c r="J167">
        <v>0</v>
      </c>
    </row>
    <row r="168" spans="1:10" x14ac:dyDescent="0.25">
      <c r="A168" t="s">
        <v>255</v>
      </c>
      <c r="B168" t="s">
        <v>977</v>
      </c>
      <c r="C168" t="s">
        <v>904</v>
      </c>
      <c r="D168" t="s">
        <v>715</v>
      </c>
      <c r="E168" t="s">
        <v>715</v>
      </c>
      <c r="F168">
        <v>40</v>
      </c>
      <c r="G168">
        <v>3</v>
      </c>
      <c r="H168">
        <v>0</v>
      </c>
      <c r="I168">
        <v>0</v>
      </c>
      <c r="J168">
        <v>0</v>
      </c>
    </row>
    <row r="169" spans="1:10" x14ac:dyDescent="0.25">
      <c r="A169" t="s">
        <v>256</v>
      </c>
      <c r="B169" t="s">
        <v>977</v>
      </c>
      <c r="C169" s="15" t="s">
        <v>1126</v>
      </c>
      <c r="D169" t="s">
        <v>716</v>
      </c>
      <c r="E169" t="s">
        <v>716</v>
      </c>
      <c r="F169">
        <v>40</v>
      </c>
      <c r="G169">
        <v>3</v>
      </c>
      <c r="H169">
        <v>5</v>
      </c>
      <c r="I169">
        <v>0</v>
      </c>
      <c r="J169">
        <v>0</v>
      </c>
    </row>
    <row r="170" spans="1:10" x14ac:dyDescent="0.25">
      <c r="A170" t="s">
        <v>257</v>
      </c>
      <c r="B170" t="s">
        <v>297</v>
      </c>
      <c r="C170" s="15" t="s">
        <v>905</v>
      </c>
      <c r="D170" t="s">
        <v>717</v>
      </c>
      <c r="E170" t="s">
        <v>717</v>
      </c>
      <c r="F170">
        <v>40</v>
      </c>
      <c r="G170">
        <v>3</v>
      </c>
      <c r="H170">
        <v>0</v>
      </c>
      <c r="I170">
        <v>0</v>
      </c>
      <c r="J170">
        <v>0</v>
      </c>
    </row>
    <row r="171" spans="1:10" x14ac:dyDescent="0.25">
      <c r="A171" s="15" t="s">
        <v>1291</v>
      </c>
      <c r="B171" s="15" t="s">
        <v>1112</v>
      </c>
      <c r="C171" s="15" t="s">
        <v>906</v>
      </c>
      <c r="D171" s="15" t="s">
        <v>1292</v>
      </c>
      <c r="E171" s="15" t="s">
        <v>1292</v>
      </c>
      <c r="F171" s="15">
        <v>40</v>
      </c>
      <c r="G171" s="15">
        <v>3</v>
      </c>
      <c r="H171" s="15">
        <v>5</v>
      </c>
      <c r="I171" s="15">
        <v>0</v>
      </c>
      <c r="J171" s="15">
        <v>0</v>
      </c>
    </row>
    <row r="172" spans="1:10" x14ac:dyDescent="0.25">
      <c r="A172" t="s">
        <v>258</v>
      </c>
      <c r="B172" t="s">
        <v>584</v>
      </c>
      <c r="C172" t="s">
        <v>905</v>
      </c>
      <c r="D172" t="s">
        <v>718</v>
      </c>
      <c r="E172" t="s">
        <v>718</v>
      </c>
      <c r="F172">
        <v>40</v>
      </c>
      <c r="G172">
        <v>3</v>
      </c>
      <c r="H172">
        <v>5</v>
      </c>
      <c r="I172">
        <v>0</v>
      </c>
      <c r="J172">
        <v>0</v>
      </c>
    </row>
    <row r="173" spans="1:10" x14ac:dyDescent="0.25">
      <c r="A173" t="s">
        <v>259</v>
      </c>
      <c r="B173" t="s">
        <v>584</v>
      </c>
      <c r="C173" t="s">
        <v>905</v>
      </c>
      <c r="D173" t="s">
        <v>719</v>
      </c>
      <c r="E173" t="s">
        <v>719</v>
      </c>
      <c r="F173">
        <v>40</v>
      </c>
      <c r="G173">
        <v>3</v>
      </c>
      <c r="H173">
        <v>5</v>
      </c>
      <c r="I173">
        <v>0</v>
      </c>
      <c r="J173">
        <v>0</v>
      </c>
    </row>
    <row r="174" spans="1:10" x14ac:dyDescent="0.25">
      <c r="A174" t="s">
        <v>260</v>
      </c>
      <c r="B174" t="s">
        <v>116</v>
      </c>
      <c r="C174" s="15" t="s">
        <v>1221</v>
      </c>
      <c r="D174" t="s">
        <v>720</v>
      </c>
      <c r="E174" t="s">
        <v>720</v>
      </c>
      <c r="F174">
        <v>40</v>
      </c>
      <c r="G174">
        <v>3</v>
      </c>
      <c r="H174">
        <v>5</v>
      </c>
      <c r="I174">
        <v>0</v>
      </c>
      <c r="J174">
        <v>8</v>
      </c>
    </row>
    <row r="175" spans="1:10" x14ac:dyDescent="0.25">
      <c r="A175" t="s">
        <v>261</v>
      </c>
      <c r="B175" t="s">
        <v>593</v>
      </c>
      <c r="C175" t="s">
        <v>905</v>
      </c>
      <c r="D175" t="s">
        <v>721</v>
      </c>
      <c r="E175" t="s">
        <v>721</v>
      </c>
      <c r="F175">
        <v>40</v>
      </c>
      <c r="G175">
        <v>3</v>
      </c>
      <c r="H175">
        <v>5</v>
      </c>
      <c r="I175">
        <v>0</v>
      </c>
      <c r="J175">
        <v>0</v>
      </c>
    </row>
    <row r="176" spans="1:10" x14ac:dyDescent="0.25">
      <c r="A176" t="s">
        <v>262</v>
      </c>
      <c r="B176" t="s">
        <v>584</v>
      </c>
      <c r="C176" t="s">
        <v>905</v>
      </c>
      <c r="D176" t="s">
        <v>722</v>
      </c>
      <c r="E176" t="s">
        <v>722</v>
      </c>
      <c r="F176">
        <v>40</v>
      </c>
      <c r="G176">
        <v>3</v>
      </c>
      <c r="H176">
        <v>5</v>
      </c>
      <c r="I176">
        <v>0</v>
      </c>
      <c r="J176">
        <v>0</v>
      </c>
    </row>
    <row r="177" spans="1:10" x14ac:dyDescent="0.25">
      <c r="A177" t="s">
        <v>263</v>
      </c>
      <c r="B177" t="s">
        <v>584</v>
      </c>
      <c r="C177" t="s">
        <v>904</v>
      </c>
      <c r="D177" t="s">
        <v>723</v>
      </c>
      <c r="E177" t="s">
        <v>723</v>
      </c>
      <c r="F177">
        <v>40</v>
      </c>
      <c r="G177">
        <v>3</v>
      </c>
      <c r="H177">
        <v>0</v>
      </c>
      <c r="I177">
        <v>0</v>
      </c>
      <c r="J177">
        <v>0</v>
      </c>
    </row>
    <row r="178" spans="1:10" x14ac:dyDescent="0.25">
      <c r="A178" t="s">
        <v>264</v>
      </c>
      <c r="B178" t="s">
        <v>265</v>
      </c>
      <c r="C178" t="s">
        <v>905</v>
      </c>
      <c r="D178" t="s">
        <v>724</v>
      </c>
      <c r="E178" t="s">
        <v>724</v>
      </c>
      <c r="F178">
        <v>40</v>
      </c>
      <c r="G178">
        <v>3</v>
      </c>
      <c r="H178">
        <v>5</v>
      </c>
      <c r="I178" s="15" t="s">
        <v>1203</v>
      </c>
      <c r="J178">
        <v>0</v>
      </c>
    </row>
    <row r="179" spans="1:10" s="14" customFormat="1" x14ac:dyDescent="0.25">
      <c r="A179" s="14" t="s">
        <v>266</v>
      </c>
      <c r="B179" s="14" t="s">
        <v>1163</v>
      </c>
      <c r="C179" s="14" t="s">
        <v>904</v>
      </c>
      <c r="D179" s="14" t="s">
        <v>725</v>
      </c>
      <c r="E179" s="14" t="s">
        <v>725</v>
      </c>
      <c r="F179" s="14">
        <v>40</v>
      </c>
      <c r="G179" s="14">
        <v>3</v>
      </c>
      <c r="H179" s="14">
        <v>0</v>
      </c>
      <c r="I179" s="14">
        <v>0</v>
      </c>
      <c r="J179" s="14">
        <v>0</v>
      </c>
    </row>
    <row r="180" spans="1:10" x14ac:dyDescent="0.25">
      <c r="A180" t="s">
        <v>267</v>
      </c>
      <c r="B180" t="s">
        <v>111</v>
      </c>
      <c r="C180" t="s">
        <v>904</v>
      </c>
      <c r="D180" t="s">
        <v>726</v>
      </c>
      <c r="E180" t="s">
        <v>726</v>
      </c>
      <c r="F180">
        <v>40</v>
      </c>
      <c r="G180">
        <v>3</v>
      </c>
      <c r="H180">
        <v>0</v>
      </c>
      <c r="I180">
        <v>0</v>
      </c>
      <c r="J180">
        <v>0</v>
      </c>
    </row>
    <row r="181" spans="1:10" x14ac:dyDescent="0.25">
      <c r="A181" t="s">
        <v>814</v>
      </c>
      <c r="B181" t="s">
        <v>1112</v>
      </c>
      <c r="C181" t="s">
        <v>906</v>
      </c>
      <c r="D181" t="s">
        <v>844</v>
      </c>
      <c r="E181" t="s">
        <v>844</v>
      </c>
      <c r="F181">
        <v>40</v>
      </c>
      <c r="G181">
        <v>3</v>
      </c>
      <c r="H181">
        <v>5</v>
      </c>
      <c r="I181">
        <v>0</v>
      </c>
      <c r="J181">
        <v>0</v>
      </c>
    </row>
    <row r="182" spans="1:10" x14ac:dyDescent="0.25">
      <c r="A182" t="s">
        <v>268</v>
      </c>
      <c r="B182" t="s">
        <v>269</v>
      </c>
      <c r="C182" t="s">
        <v>903</v>
      </c>
      <c r="D182" t="s">
        <v>727</v>
      </c>
      <c r="E182" t="s">
        <v>727</v>
      </c>
      <c r="F182">
        <v>40</v>
      </c>
      <c r="G182">
        <v>3</v>
      </c>
      <c r="H182">
        <v>5</v>
      </c>
      <c r="I182">
        <v>0</v>
      </c>
      <c r="J182">
        <v>0</v>
      </c>
    </row>
    <row r="183" spans="1:10" x14ac:dyDescent="0.25">
      <c r="A183" t="s">
        <v>270</v>
      </c>
      <c r="B183" t="s">
        <v>269</v>
      </c>
      <c r="C183" t="s">
        <v>903</v>
      </c>
      <c r="D183" t="s">
        <v>728</v>
      </c>
      <c r="E183" t="s">
        <v>728</v>
      </c>
      <c r="F183">
        <v>40</v>
      </c>
      <c r="G183">
        <v>3</v>
      </c>
      <c r="H183">
        <v>5</v>
      </c>
      <c r="I183">
        <v>0</v>
      </c>
      <c r="J183">
        <v>0</v>
      </c>
    </row>
    <row r="184" spans="1:10" x14ac:dyDescent="0.25">
      <c r="A184" t="s">
        <v>271</v>
      </c>
      <c r="B184" t="s">
        <v>111</v>
      </c>
      <c r="C184" t="s">
        <v>904</v>
      </c>
      <c r="D184" t="s">
        <v>729</v>
      </c>
      <c r="E184" t="s">
        <v>729</v>
      </c>
      <c r="F184">
        <v>40</v>
      </c>
      <c r="G184">
        <v>3</v>
      </c>
      <c r="H184">
        <v>0</v>
      </c>
      <c r="I184">
        <v>0</v>
      </c>
      <c r="J184">
        <v>0</v>
      </c>
    </row>
    <row r="185" spans="1:10" x14ac:dyDescent="0.25">
      <c r="A185" t="s">
        <v>272</v>
      </c>
      <c r="B185" t="s">
        <v>584</v>
      </c>
      <c r="C185" t="s">
        <v>905</v>
      </c>
      <c r="D185" t="s">
        <v>730</v>
      </c>
      <c r="E185" t="s">
        <v>730</v>
      </c>
      <c r="F185">
        <v>40</v>
      </c>
      <c r="G185">
        <v>3</v>
      </c>
      <c r="H185">
        <v>5</v>
      </c>
      <c r="I185">
        <v>0</v>
      </c>
      <c r="J185">
        <v>0</v>
      </c>
    </row>
    <row r="186" spans="1:10" x14ac:dyDescent="0.25">
      <c r="A186" t="s">
        <v>273</v>
      </c>
      <c r="B186" t="s">
        <v>584</v>
      </c>
      <c r="C186" t="s">
        <v>904</v>
      </c>
      <c r="D186" t="s">
        <v>731</v>
      </c>
      <c r="E186" t="s">
        <v>731</v>
      </c>
      <c r="F186">
        <v>40</v>
      </c>
      <c r="G186">
        <v>3</v>
      </c>
      <c r="H186">
        <v>0</v>
      </c>
      <c r="I186">
        <v>0</v>
      </c>
      <c r="J186">
        <v>0</v>
      </c>
    </row>
    <row r="187" spans="1:10" x14ac:dyDescent="0.25">
      <c r="A187" t="s">
        <v>274</v>
      </c>
      <c r="B187" t="s">
        <v>111</v>
      </c>
      <c r="C187" t="s">
        <v>904</v>
      </c>
      <c r="D187" t="s">
        <v>732</v>
      </c>
      <c r="E187" t="s">
        <v>732</v>
      </c>
      <c r="F187">
        <v>40</v>
      </c>
      <c r="G187">
        <v>1</v>
      </c>
      <c r="H187">
        <v>0</v>
      </c>
      <c r="I187">
        <v>0</v>
      </c>
      <c r="J187">
        <v>0</v>
      </c>
    </row>
    <row r="188" spans="1:10" x14ac:dyDescent="0.25">
      <c r="A188" s="7" t="s">
        <v>815</v>
      </c>
      <c r="B188" t="s">
        <v>584</v>
      </c>
      <c r="C188" t="s">
        <v>905</v>
      </c>
      <c r="D188" t="s">
        <v>845</v>
      </c>
      <c r="E188" t="s">
        <v>845</v>
      </c>
      <c r="F188">
        <v>40</v>
      </c>
      <c r="G188">
        <v>3</v>
      </c>
      <c r="H188">
        <v>5</v>
      </c>
      <c r="I188">
        <v>0</v>
      </c>
      <c r="J188">
        <v>0</v>
      </c>
    </row>
    <row r="189" spans="1:10" x14ac:dyDescent="0.25">
      <c r="A189" s="7" t="s">
        <v>816</v>
      </c>
      <c r="B189" t="s">
        <v>977</v>
      </c>
      <c r="C189" t="s">
        <v>904</v>
      </c>
      <c r="D189" t="s">
        <v>846</v>
      </c>
      <c r="E189" t="s">
        <v>846</v>
      </c>
      <c r="F189">
        <v>40</v>
      </c>
      <c r="G189">
        <v>3</v>
      </c>
      <c r="H189">
        <v>0</v>
      </c>
      <c r="I189">
        <v>0</v>
      </c>
      <c r="J189">
        <v>0</v>
      </c>
    </row>
    <row r="190" spans="1:10" s="14" customFormat="1" x14ac:dyDescent="0.25">
      <c r="A190" s="14" t="s">
        <v>275</v>
      </c>
      <c r="B190" s="14" t="s">
        <v>1163</v>
      </c>
      <c r="C190" s="14" t="s">
        <v>1063</v>
      </c>
      <c r="D190" s="14" t="s">
        <v>733</v>
      </c>
      <c r="E190" s="14" t="s">
        <v>733</v>
      </c>
      <c r="F190" s="14">
        <v>40</v>
      </c>
      <c r="G190" s="14">
        <v>3</v>
      </c>
      <c r="H190" s="14">
        <v>5</v>
      </c>
      <c r="I190" s="14">
        <v>0</v>
      </c>
      <c r="J190" s="14">
        <v>0</v>
      </c>
    </row>
    <row r="191" spans="1:10" s="14" customFormat="1" x14ac:dyDescent="0.25">
      <c r="A191" s="14" t="s">
        <v>276</v>
      </c>
      <c r="B191" s="14" t="s">
        <v>111</v>
      </c>
      <c r="C191" s="14" t="s">
        <v>904</v>
      </c>
      <c r="D191" s="14" t="s">
        <v>734</v>
      </c>
      <c r="E191" s="14" t="s">
        <v>734</v>
      </c>
      <c r="F191" s="14">
        <v>40</v>
      </c>
      <c r="G191" s="14">
        <v>3</v>
      </c>
      <c r="H191" s="14">
        <v>0</v>
      </c>
      <c r="I191" s="14">
        <v>0</v>
      </c>
      <c r="J191" s="14">
        <v>0</v>
      </c>
    </row>
    <row r="192" spans="1:10" x14ac:dyDescent="0.25">
      <c r="A192" t="s">
        <v>277</v>
      </c>
      <c r="B192" s="14" t="s">
        <v>1163</v>
      </c>
      <c r="C192" t="s">
        <v>905</v>
      </c>
      <c r="D192" t="s">
        <v>735</v>
      </c>
      <c r="E192" t="s">
        <v>735</v>
      </c>
      <c r="F192">
        <v>40</v>
      </c>
      <c r="G192">
        <v>3</v>
      </c>
      <c r="H192">
        <v>0</v>
      </c>
      <c r="I192">
        <v>0</v>
      </c>
      <c r="J192">
        <v>0</v>
      </c>
    </row>
    <row r="193" spans="1:10" x14ac:dyDescent="0.25">
      <c r="A193" s="15" t="s">
        <v>1293</v>
      </c>
      <c r="B193" s="15" t="s">
        <v>584</v>
      </c>
      <c r="C193" s="15" t="s">
        <v>905</v>
      </c>
      <c r="D193" s="15" t="s">
        <v>1294</v>
      </c>
      <c r="E193" s="15" t="s">
        <v>1294</v>
      </c>
      <c r="F193" s="16">
        <v>40</v>
      </c>
      <c r="G193" s="16">
        <v>3</v>
      </c>
      <c r="H193" s="16">
        <v>5</v>
      </c>
      <c r="I193" s="16">
        <v>0</v>
      </c>
      <c r="J193" s="16">
        <v>0</v>
      </c>
    </row>
    <row r="194" spans="1:10" x14ac:dyDescent="0.25">
      <c r="A194" s="15" t="s">
        <v>1295</v>
      </c>
      <c r="B194" s="15" t="s">
        <v>584</v>
      </c>
      <c r="C194" s="15" t="s">
        <v>905</v>
      </c>
      <c r="D194" s="15" t="s">
        <v>1296</v>
      </c>
      <c r="E194" s="15" t="s">
        <v>1296</v>
      </c>
      <c r="F194" s="16">
        <v>40</v>
      </c>
      <c r="G194" s="16">
        <v>3</v>
      </c>
      <c r="H194" s="16">
        <v>5</v>
      </c>
      <c r="I194" s="16">
        <v>0</v>
      </c>
      <c r="J194" s="16">
        <v>0</v>
      </c>
    </row>
    <row r="195" spans="1:10" x14ac:dyDescent="0.25">
      <c r="A195" t="s">
        <v>278</v>
      </c>
      <c r="B195" t="s">
        <v>537</v>
      </c>
      <c r="C195" s="14" t="s">
        <v>1109</v>
      </c>
      <c r="D195" t="s">
        <v>736</v>
      </c>
      <c r="E195" t="s">
        <v>736</v>
      </c>
      <c r="F195">
        <v>40</v>
      </c>
      <c r="G195">
        <v>3</v>
      </c>
      <c r="H195">
        <v>5</v>
      </c>
      <c r="I195">
        <v>0</v>
      </c>
      <c r="J195">
        <v>0</v>
      </c>
    </row>
    <row r="196" spans="1:10" x14ac:dyDescent="0.25">
      <c r="A196" t="s">
        <v>817</v>
      </c>
      <c r="B196" t="s">
        <v>584</v>
      </c>
      <c r="C196" t="s">
        <v>905</v>
      </c>
      <c r="D196" t="s">
        <v>847</v>
      </c>
      <c r="E196" t="s">
        <v>847</v>
      </c>
      <c r="F196">
        <v>40</v>
      </c>
      <c r="G196">
        <v>3</v>
      </c>
      <c r="H196">
        <v>5</v>
      </c>
      <c r="I196">
        <v>0</v>
      </c>
      <c r="J196">
        <v>0</v>
      </c>
    </row>
    <row r="197" spans="1:10" x14ac:dyDescent="0.25">
      <c r="A197" t="s">
        <v>279</v>
      </c>
      <c r="B197" t="s">
        <v>584</v>
      </c>
      <c r="C197" t="s">
        <v>905</v>
      </c>
      <c r="D197" t="s">
        <v>737</v>
      </c>
      <c r="E197" t="s">
        <v>737</v>
      </c>
      <c r="F197">
        <v>40</v>
      </c>
      <c r="G197">
        <v>3</v>
      </c>
      <c r="H197">
        <v>5</v>
      </c>
      <c r="I197">
        <v>0</v>
      </c>
      <c r="J197">
        <v>0</v>
      </c>
    </row>
    <row r="198" spans="1:10" x14ac:dyDescent="0.25">
      <c r="A198" t="s">
        <v>280</v>
      </c>
      <c r="B198" t="s">
        <v>584</v>
      </c>
      <c r="C198" t="s">
        <v>905</v>
      </c>
      <c r="D198" t="s">
        <v>738</v>
      </c>
      <c r="E198" t="s">
        <v>738</v>
      </c>
      <c r="F198">
        <v>40</v>
      </c>
      <c r="G198">
        <v>3</v>
      </c>
      <c r="H198">
        <v>5</v>
      </c>
      <c r="I198">
        <v>0</v>
      </c>
      <c r="J198">
        <v>0</v>
      </c>
    </row>
    <row r="199" spans="1:10" x14ac:dyDescent="0.25">
      <c r="A199" t="s">
        <v>281</v>
      </c>
      <c r="B199" t="s">
        <v>1163</v>
      </c>
      <c r="C199" t="s">
        <v>905</v>
      </c>
      <c r="D199" t="s">
        <v>739</v>
      </c>
      <c r="E199" t="s">
        <v>739</v>
      </c>
      <c r="F199">
        <v>40</v>
      </c>
      <c r="G199">
        <v>3</v>
      </c>
      <c r="H199">
        <v>5</v>
      </c>
      <c r="I199">
        <v>0</v>
      </c>
      <c r="J199">
        <v>0</v>
      </c>
    </row>
    <row r="200" spans="1:10" x14ac:dyDescent="0.25">
      <c r="A200" s="15" t="s">
        <v>1297</v>
      </c>
      <c r="B200" s="15" t="s">
        <v>1112</v>
      </c>
      <c r="C200" s="15" t="s">
        <v>906</v>
      </c>
      <c r="D200" s="15" t="s">
        <v>1298</v>
      </c>
      <c r="E200" s="15" t="s">
        <v>1298</v>
      </c>
      <c r="F200" s="15">
        <v>40</v>
      </c>
      <c r="G200" s="15">
        <v>3</v>
      </c>
      <c r="H200" s="15">
        <v>5</v>
      </c>
      <c r="I200" s="15">
        <v>0</v>
      </c>
      <c r="J200" s="15">
        <v>0</v>
      </c>
    </row>
    <row r="201" spans="1:10" x14ac:dyDescent="0.25">
      <c r="A201" t="s">
        <v>282</v>
      </c>
      <c r="B201" t="s">
        <v>584</v>
      </c>
      <c r="C201" t="s">
        <v>905</v>
      </c>
      <c r="D201" t="s">
        <v>740</v>
      </c>
      <c r="E201" t="s">
        <v>740</v>
      </c>
      <c r="F201">
        <v>40</v>
      </c>
      <c r="G201">
        <v>3</v>
      </c>
      <c r="H201">
        <v>5</v>
      </c>
      <c r="I201">
        <v>0</v>
      </c>
      <c r="J201">
        <v>0</v>
      </c>
    </row>
    <row r="202" spans="1:10" x14ac:dyDescent="0.25">
      <c r="A202" t="s">
        <v>283</v>
      </c>
      <c r="B202" t="s">
        <v>111</v>
      </c>
      <c r="C202" t="s">
        <v>905</v>
      </c>
      <c r="D202" t="s">
        <v>741</v>
      </c>
      <c r="E202" t="s">
        <v>741</v>
      </c>
      <c r="F202">
        <v>40</v>
      </c>
      <c r="G202">
        <v>3</v>
      </c>
      <c r="H202">
        <v>5</v>
      </c>
      <c r="I202">
        <v>0</v>
      </c>
      <c r="J202">
        <v>0</v>
      </c>
    </row>
    <row r="203" spans="1:10" x14ac:dyDescent="0.25">
      <c r="A203" t="s">
        <v>284</v>
      </c>
      <c r="B203" t="s">
        <v>1222</v>
      </c>
      <c r="C203" t="s">
        <v>905</v>
      </c>
      <c r="D203" t="s">
        <v>742</v>
      </c>
      <c r="E203" t="s">
        <v>742</v>
      </c>
      <c r="F203">
        <v>40</v>
      </c>
      <c r="G203">
        <v>3</v>
      </c>
      <c r="H203">
        <v>5</v>
      </c>
      <c r="I203">
        <v>0</v>
      </c>
      <c r="J203">
        <v>0</v>
      </c>
    </row>
    <row r="204" spans="1:10" x14ac:dyDescent="0.25">
      <c r="A204" t="s">
        <v>818</v>
      </c>
      <c r="B204" t="s">
        <v>584</v>
      </c>
      <c r="C204" t="s">
        <v>905</v>
      </c>
      <c r="D204" t="s">
        <v>848</v>
      </c>
      <c r="E204" t="s">
        <v>848</v>
      </c>
      <c r="F204">
        <v>40</v>
      </c>
      <c r="G204">
        <v>3</v>
      </c>
      <c r="H204">
        <v>5</v>
      </c>
      <c r="I204">
        <v>0</v>
      </c>
      <c r="J204">
        <v>0</v>
      </c>
    </row>
    <row r="205" spans="1:10" x14ac:dyDescent="0.25">
      <c r="A205" t="s">
        <v>285</v>
      </c>
      <c r="B205" t="s">
        <v>584</v>
      </c>
      <c r="C205" t="s">
        <v>905</v>
      </c>
      <c r="D205" t="s">
        <v>743</v>
      </c>
      <c r="E205" t="s">
        <v>743</v>
      </c>
      <c r="F205">
        <v>40</v>
      </c>
      <c r="G205">
        <v>3</v>
      </c>
      <c r="H205">
        <v>5</v>
      </c>
      <c r="I205">
        <v>0</v>
      </c>
      <c r="J205">
        <v>0</v>
      </c>
    </row>
    <row r="206" spans="1:10" x14ac:dyDescent="0.25">
      <c r="A206" t="s">
        <v>286</v>
      </c>
      <c r="B206" t="s">
        <v>584</v>
      </c>
      <c r="C206" t="s">
        <v>905</v>
      </c>
      <c r="D206" t="s">
        <v>744</v>
      </c>
      <c r="E206" t="s">
        <v>744</v>
      </c>
      <c r="F206">
        <v>40</v>
      </c>
      <c r="G206">
        <v>3</v>
      </c>
      <c r="H206">
        <v>5</v>
      </c>
      <c r="I206">
        <v>0</v>
      </c>
      <c r="J206">
        <v>0</v>
      </c>
    </row>
    <row r="207" spans="1:10" x14ac:dyDescent="0.25">
      <c r="A207" t="s">
        <v>287</v>
      </c>
      <c r="B207" t="s">
        <v>979</v>
      </c>
      <c r="C207" t="s">
        <v>905</v>
      </c>
      <c r="D207" t="s">
        <v>745</v>
      </c>
      <c r="E207" t="s">
        <v>745</v>
      </c>
      <c r="F207">
        <v>40</v>
      </c>
      <c r="G207">
        <v>3</v>
      </c>
      <c r="H207">
        <v>5</v>
      </c>
      <c r="I207">
        <v>0</v>
      </c>
      <c r="J207">
        <v>0</v>
      </c>
    </row>
    <row r="208" spans="1:10" x14ac:dyDescent="0.25">
      <c r="A208" s="15" t="s">
        <v>1299</v>
      </c>
      <c r="B208" s="15" t="s">
        <v>584</v>
      </c>
      <c r="C208" s="15" t="s">
        <v>904</v>
      </c>
      <c r="D208" s="15" t="s">
        <v>1300</v>
      </c>
      <c r="E208" s="15" t="s">
        <v>1300</v>
      </c>
      <c r="F208" s="15">
        <v>40</v>
      </c>
      <c r="G208" s="15">
        <v>3</v>
      </c>
      <c r="H208" s="15">
        <v>0</v>
      </c>
      <c r="I208" s="15">
        <v>0</v>
      </c>
      <c r="J208" s="15">
        <v>0</v>
      </c>
    </row>
    <row r="209" spans="1:10" x14ac:dyDescent="0.25">
      <c r="A209" t="s">
        <v>288</v>
      </c>
      <c r="B209" t="s">
        <v>1223</v>
      </c>
      <c r="C209" t="s">
        <v>904</v>
      </c>
      <c r="D209" t="s">
        <v>746</v>
      </c>
      <c r="E209" t="s">
        <v>746</v>
      </c>
      <c r="F209">
        <v>40</v>
      </c>
      <c r="G209">
        <v>3</v>
      </c>
      <c r="H209">
        <v>0</v>
      </c>
      <c r="I209">
        <v>0</v>
      </c>
      <c r="J209">
        <v>0</v>
      </c>
    </row>
    <row r="210" spans="1:10" x14ac:dyDescent="0.25">
      <c r="A210" t="s">
        <v>289</v>
      </c>
      <c r="B210" t="s">
        <v>537</v>
      </c>
      <c r="C210" s="14" t="s">
        <v>1109</v>
      </c>
      <c r="D210" t="s">
        <v>747</v>
      </c>
      <c r="E210" t="s">
        <v>747</v>
      </c>
      <c r="F210">
        <v>40</v>
      </c>
      <c r="G210">
        <v>3</v>
      </c>
      <c r="H210">
        <v>5</v>
      </c>
      <c r="I210">
        <v>0</v>
      </c>
      <c r="J210">
        <v>0</v>
      </c>
    </row>
    <row r="211" spans="1:10" x14ac:dyDescent="0.25">
      <c r="A211" t="s">
        <v>290</v>
      </c>
      <c r="B211" t="s">
        <v>111</v>
      </c>
      <c r="C211" t="s">
        <v>905</v>
      </c>
      <c r="D211" t="s">
        <v>748</v>
      </c>
      <c r="E211" t="s">
        <v>748</v>
      </c>
      <c r="F211">
        <v>40</v>
      </c>
      <c r="G211">
        <v>1</v>
      </c>
      <c r="H211">
        <v>5</v>
      </c>
      <c r="I211">
        <v>0</v>
      </c>
      <c r="J211">
        <v>0</v>
      </c>
    </row>
    <row r="212" spans="1:10" x14ac:dyDescent="0.25">
      <c r="A212" s="15" t="s">
        <v>1301</v>
      </c>
      <c r="B212" s="15" t="s">
        <v>1011</v>
      </c>
      <c r="C212" s="16" t="s">
        <v>1109</v>
      </c>
      <c r="D212" s="15" t="s">
        <v>1302</v>
      </c>
      <c r="E212" s="15" t="s">
        <v>1302</v>
      </c>
      <c r="F212" s="15">
        <v>40</v>
      </c>
      <c r="G212" s="15">
        <v>3</v>
      </c>
      <c r="H212" s="15">
        <v>5</v>
      </c>
      <c r="I212" s="15">
        <v>0</v>
      </c>
      <c r="J212" s="15">
        <v>0</v>
      </c>
    </row>
    <row r="213" spans="1:10" x14ac:dyDescent="0.25">
      <c r="A213" s="15" t="s">
        <v>1303</v>
      </c>
      <c r="B213" s="15" t="s">
        <v>175</v>
      </c>
      <c r="C213" s="15" t="s">
        <v>904</v>
      </c>
      <c r="D213" s="15" t="s">
        <v>1304</v>
      </c>
      <c r="E213" s="15" t="s">
        <v>1304</v>
      </c>
      <c r="F213" s="15">
        <v>40</v>
      </c>
      <c r="G213" s="15">
        <v>3</v>
      </c>
      <c r="H213" s="15">
        <v>0</v>
      </c>
      <c r="I213" s="15">
        <v>0</v>
      </c>
      <c r="J213" s="15">
        <v>0</v>
      </c>
    </row>
    <row r="214" spans="1:10" x14ac:dyDescent="0.25">
      <c r="A214" t="s">
        <v>291</v>
      </c>
      <c r="B214" t="s">
        <v>977</v>
      </c>
      <c r="C214" s="15" t="s">
        <v>905</v>
      </c>
      <c r="D214" t="s">
        <v>749</v>
      </c>
      <c r="E214" t="s">
        <v>749</v>
      </c>
      <c r="F214">
        <v>40</v>
      </c>
      <c r="G214">
        <v>3</v>
      </c>
      <c r="H214">
        <v>0</v>
      </c>
      <c r="I214">
        <v>0</v>
      </c>
      <c r="J214">
        <v>0</v>
      </c>
    </row>
    <row r="215" spans="1:10" x14ac:dyDescent="0.25">
      <c r="A215" t="s">
        <v>292</v>
      </c>
      <c r="B215" t="s">
        <v>175</v>
      </c>
      <c r="C215" t="s">
        <v>904</v>
      </c>
      <c r="D215" t="s">
        <v>750</v>
      </c>
      <c r="E215" t="s">
        <v>750</v>
      </c>
      <c r="F215">
        <v>40</v>
      </c>
      <c r="G215">
        <v>3</v>
      </c>
      <c r="H215">
        <v>0</v>
      </c>
      <c r="I215">
        <v>0</v>
      </c>
      <c r="J215">
        <v>0</v>
      </c>
    </row>
    <row r="216" spans="1:10" x14ac:dyDescent="0.25">
      <c r="A216" t="s">
        <v>293</v>
      </c>
      <c r="B216" t="s">
        <v>1163</v>
      </c>
      <c r="C216" t="s">
        <v>905</v>
      </c>
      <c r="D216" t="s">
        <v>751</v>
      </c>
      <c r="E216" t="s">
        <v>751</v>
      </c>
      <c r="F216">
        <v>40</v>
      </c>
      <c r="G216">
        <v>3</v>
      </c>
      <c r="H216">
        <v>5</v>
      </c>
      <c r="I216">
        <v>0</v>
      </c>
      <c r="J216">
        <v>0</v>
      </c>
    </row>
    <row r="217" spans="1:10" x14ac:dyDescent="0.25">
      <c r="A217" s="15" t="s">
        <v>1305</v>
      </c>
      <c r="B217" s="15" t="s">
        <v>1163</v>
      </c>
      <c r="C217" s="15" t="s">
        <v>904</v>
      </c>
      <c r="D217" s="15" t="s">
        <v>1306</v>
      </c>
      <c r="E217" s="15" t="s">
        <v>1306</v>
      </c>
      <c r="F217" s="15">
        <v>40</v>
      </c>
      <c r="G217" s="15">
        <v>3</v>
      </c>
      <c r="H217" s="15">
        <v>0</v>
      </c>
      <c r="I217" s="15">
        <v>0</v>
      </c>
      <c r="J217" s="15">
        <v>0</v>
      </c>
    </row>
    <row r="218" spans="1:10" x14ac:dyDescent="0.25">
      <c r="A218" t="s">
        <v>294</v>
      </c>
      <c r="B218" t="s">
        <v>977</v>
      </c>
      <c r="C218" t="s">
        <v>904</v>
      </c>
      <c r="D218" t="s">
        <v>752</v>
      </c>
      <c r="E218" t="s">
        <v>752</v>
      </c>
      <c r="F218">
        <v>40</v>
      </c>
      <c r="G218">
        <v>3</v>
      </c>
      <c r="H218">
        <v>0</v>
      </c>
      <c r="I218">
        <v>0</v>
      </c>
      <c r="J218">
        <v>0</v>
      </c>
    </row>
    <row r="219" spans="1:10" x14ac:dyDescent="0.25">
      <c r="A219" t="s">
        <v>295</v>
      </c>
      <c r="B219" t="s">
        <v>977</v>
      </c>
      <c r="C219" t="s">
        <v>904</v>
      </c>
      <c r="D219" t="s">
        <v>753</v>
      </c>
      <c r="E219" t="s">
        <v>753</v>
      </c>
      <c r="F219">
        <v>40</v>
      </c>
      <c r="G219">
        <v>3</v>
      </c>
      <c r="H219">
        <v>0</v>
      </c>
      <c r="I219">
        <v>0</v>
      </c>
      <c r="J219">
        <v>0</v>
      </c>
    </row>
    <row r="220" spans="1:10" x14ac:dyDescent="0.25">
      <c r="A220" t="s">
        <v>296</v>
      </c>
      <c r="B220" t="s">
        <v>1239</v>
      </c>
      <c r="C220" t="s">
        <v>904</v>
      </c>
      <c r="D220" t="s">
        <v>754</v>
      </c>
      <c r="E220" t="s">
        <v>754</v>
      </c>
      <c r="F220">
        <v>40</v>
      </c>
      <c r="G220">
        <v>3</v>
      </c>
      <c r="H220">
        <v>0</v>
      </c>
      <c r="I220" s="15" t="s">
        <v>1203</v>
      </c>
      <c r="J220">
        <v>0</v>
      </c>
    </row>
    <row r="221" spans="1:10" x14ac:dyDescent="0.25">
      <c r="A221" t="s">
        <v>298</v>
      </c>
      <c r="B221" t="s">
        <v>1163</v>
      </c>
      <c r="C221" t="s">
        <v>1045</v>
      </c>
      <c r="D221" t="s">
        <v>755</v>
      </c>
      <c r="E221" t="s">
        <v>755</v>
      </c>
      <c r="F221">
        <v>40</v>
      </c>
      <c r="G221">
        <v>3</v>
      </c>
      <c r="H221">
        <v>5</v>
      </c>
      <c r="I221">
        <v>0</v>
      </c>
      <c r="J221">
        <v>0</v>
      </c>
    </row>
    <row r="222" spans="1:10" x14ac:dyDescent="0.25">
      <c r="A222" t="s">
        <v>299</v>
      </c>
      <c r="B222" t="s">
        <v>1112</v>
      </c>
      <c r="C222" t="s">
        <v>906</v>
      </c>
      <c r="D222" t="s">
        <v>756</v>
      </c>
      <c r="E222" t="s">
        <v>756</v>
      </c>
      <c r="F222">
        <v>40</v>
      </c>
      <c r="G222">
        <v>3</v>
      </c>
      <c r="H222">
        <v>5</v>
      </c>
      <c r="I222">
        <v>0</v>
      </c>
      <c r="J222">
        <v>0</v>
      </c>
    </row>
    <row r="223" spans="1:10" x14ac:dyDescent="0.25">
      <c r="A223" t="s">
        <v>300</v>
      </c>
      <c r="B223" t="s">
        <v>888</v>
      </c>
      <c r="C223" s="15" t="s">
        <v>1221</v>
      </c>
      <c r="D223" t="s">
        <v>757</v>
      </c>
      <c r="E223" t="s">
        <v>757</v>
      </c>
      <c r="F223">
        <v>40</v>
      </c>
      <c r="G223">
        <v>3</v>
      </c>
      <c r="H223">
        <v>5</v>
      </c>
      <c r="I223">
        <v>0</v>
      </c>
      <c r="J223">
        <v>8</v>
      </c>
    </row>
    <row r="224" spans="1:10" x14ac:dyDescent="0.25">
      <c r="A224" t="s">
        <v>819</v>
      </c>
      <c r="B224" t="s">
        <v>116</v>
      </c>
      <c r="C224" s="15" t="s">
        <v>1221</v>
      </c>
      <c r="D224" t="s">
        <v>849</v>
      </c>
      <c r="E224" t="s">
        <v>849</v>
      </c>
      <c r="F224">
        <v>40</v>
      </c>
      <c r="G224">
        <v>3</v>
      </c>
      <c r="H224">
        <v>5</v>
      </c>
      <c r="I224">
        <v>0</v>
      </c>
      <c r="J224">
        <v>8</v>
      </c>
    </row>
    <row r="225" spans="1:10" x14ac:dyDescent="0.25">
      <c r="A225" t="s">
        <v>306</v>
      </c>
      <c r="B225" t="s">
        <v>136</v>
      </c>
      <c r="C225" t="s">
        <v>904</v>
      </c>
      <c r="D225" t="s">
        <v>758</v>
      </c>
      <c r="E225" t="s">
        <v>758</v>
      </c>
      <c r="F225">
        <v>40</v>
      </c>
      <c r="G225">
        <v>3</v>
      </c>
      <c r="H225">
        <v>0</v>
      </c>
      <c r="I225">
        <v>0</v>
      </c>
      <c r="J225">
        <v>0</v>
      </c>
    </row>
    <row r="226" spans="1:10" x14ac:dyDescent="0.25">
      <c r="A226" t="s">
        <v>307</v>
      </c>
      <c r="B226" t="s">
        <v>175</v>
      </c>
      <c r="C226" t="s">
        <v>904</v>
      </c>
      <c r="D226" t="s">
        <v>759</v>
      </c>
      <c r="E226" t="s">
        <v>759</v>
      </c>
      <c r="F226">
        <v>40</v>
      </c>
      <c r="G226">
        <v>3</v>
      </c>
      <c r="H226">
        <v>0</v>
      </c>
      <c r="I226">
        <v>0</v>
      </c>
      <c r="J226">
        <v>0</v>
      </c>
    </row>
    <row r="227" spans="1:10" x14ac:dyDescent="0.25">
      <c r="A227" t="s">
        <v>308</v>
      </c>
      <c r="B227" t="s">
        <v>977</v>
      </c>
      <c r="C227" t="s">
        <v>903</v>
      </c>
      <c r="D227" t="s">
        <v>760</v>
      </c>
      <c r="E227" t="s">
        <v>760</v>
      </c>
      <c r="F227">
        <v>40</v>
      </c>
      <c r="G227">
        <v>3</v>
      </c>
      <c r="H227">
        <v>5</v>
      </c>
      <c r="I227">
        <v>0</v>
      </c>
      <c r="J227">
        <v>0</v>
      </c>
    </row>
    <row r="228" spans="1:10" x14ac:dyDescent="0.25">
      <c r="A228" t="s">
        <v>309</v>
      </c>
      <c r="B228" t="s">
        <v>310</v>
      </c>
      <c r="C228" t="s">
        <v>903</v>
      </c>
      <c r="D228" t="s">
        <v>761</v>
      </c>
      <c r="E228" t="s">
        <v>761</v>
      </c>
      <c r="F228">
        <v>40</v>
      </c>
      <c r="G228">
        <v>3</v>
      </c>
      <c r="H228">
        <v>5</v>
      </c>
      <c r="I228">
        <v>0</v>
      </c>
      <c r="J228">
        <v>0</v>
      </c>
    </row>
    <row r="229" spans="1:10" x14ac:dyDescent="0.25">
      <c r="A229" t="s">
        <v>311</v>
      </c>
      <c r="B229" t="s">
        <v>1223</v>
      </c>
      <c r="C229" t="s">
        <v>904</v>
      </c>
      <c r="D229" t="s">
        <v>762</v>
      </c>
      <c r="E229" t="s">
        <v>762</v>
      </c>
      <c r="F229">
        <v>40</v>
      </c>
      <c r="G229">
        <v>2</v>
      </c>
      <c r="H229">
        <v>0</v>
      </c>
      <c r="I229">
        <v>0</v>
      </c>
      <c r="J229">
        <v>0</v>
      </c>
    </row>
    <row r="230" spans="1:10" x14ac:dyDescent="0.25">
      <c r="A230" t="s">
        <v>312</v>
      </c>
      <c r="B230" t="s">
        <v>888</v>
      </c>
      <c r="C230" s="15" t="s">
        <v>1221</v>
      </c>
      <c r="D230" t="s">
        <v>763</v>
      </c>
      <c r="E230" t="s">
        <v>763</v>
      </c>
      <c r="F230">
        <v>40</v>
      </c>
      <c r="G230">
        <v>3</v>
      </c>
      <c r="H230">
        <v>5</v>
      </c>
      <c r="I230">
        <v>0</v>
      </c>
      <c r="J230">
        <v>8</v>
      </c>
    </row>
    <row r="231" spans="1:10" x14ac:dyDescent="0.25">
      <c r="A231" t="s">
        <v>820</v>
      </c>
      <c r="B231" t="s">
        <v>1112</v>
      </c>
      <c r="C231" t="s">
        <v>1109</v>
      </c>
      <c r="D231" t="s">
        <v>850</v>
      </c>
      <c r="E231" t="s">
        <v>850</v>
      </c>
      <c r="F231">
        <v>40</v>
      </c>
      <c r="G231">
        <v>3</v>
      </c>
      <c r="H231">
        <v>5</v>
      </c>
      <c r="I231">
        <v>0</v>
      </c>
      <c r="J231">
        <v>0</v>
      </c>
    </row>
    <row r="232" spans="1:10" x14ac:dyDescent="0.25">
      <c r="A232" t="s">
        <v>313</v>
      </c>
      <c r="B232" t="s">
        <v>111</v>
      </c>
      <c r="C232" t="s">
        <v>904</v>
      </c>
      <c r="D232" t="s">
        <v>764</v>
      </c>
      <c r="E232" t="s">
        <v>764</v>
      </c>
      <c r="F232">
        <v>40</v>
      </c>
      <c r="G232">
        <v>3</v>
      </c>
      <c r="H232">
        <v>0</v>
      </c>
      <c r="I232">
        <v>0</v>
      </c>
      <c r="J232">
        <v>0</v>
      </c>
    </row>
    <row r="233" spans="1:10" x14ac:dyDescent="0.25">
      <c r="A233" s="15" t="s">
        <v>1307</v>
      </c>
      <c r="B233" s="15" t="s">
        <v>175</v>
      </c>
      <c r="C233" s="15" t="s">
        <v>905</v>
      </c>
      <c r="D233" s="15" t="s">
        <v>1308</v>
      </c>
      <c r="E233" s="15" t="s">
        <v>1308</v>
      </c>
      <c r="F233" s="15">
        <v>40</v>
      </c>
      <c r="G233" s="15">
        <v>3</v>
      </c>
      <c r="H233" s="15">
        <v>5</v>
      </c>
      <c r="I233" s="15">
        <v>0</v>
      </c>
      <c r="J233" s="15">
        <v>0</v>
      </c>
    </row>
    <row r="234" spans="1:10" x14ac:dyDescent="0.25">
      <c r="A234" t="s">
        <v>314</v>
      </c>
      <c r="B234" t="s">
        <v>111</v>
      </c>
      <c r="C234" t="s">
        <v>904</v>
      </c>
      <c r="D234" t="s">
        <v>765</v>
      </c>
      <c r="E234" t="s">
        <v>765</v>
      </c>
      <c r="F234">
        <v>40</v>
      </c>
      <c r="G234">
        <v>3</v>
      </c>
      <c r="H234">
        <v>0</v>
      </c>
      <c r="I234">
        <v>0</v>
      </c>
      <c r="J234">
        <v>0</v>
      </c>
    </row>
    <row r="235" spans="1:10" x14ac:dyDescent="0.25">
      <c r="A235" t="s">
        <v>1124</v>
      </c>
      <c r="B235" t="s">
        <v>1163</v>
      </c>
      <c r="C235" t="s">
        <v>904</v>
      </c>
      <c r="D235" t="s">
        <v>1125</v>
      </c>
      <c r="E235" t="s">
        <v>1125</v>
      </c>
      <c r="F235">
        <v>40</v>
      </c>
      <c r="G235">
        <v>3</v>
      </c>
      <c r="H235">
        <v>0</v>
      </c>
      <c r="I235">
        <v>0</v>
      </c>
      <c r="J235">
        <v>0</v>
      </c>
    </row>
    <row r="236" spans="1:10" x14ac:dyDescent="0.25">
      <c r="A236" t="s">
        <v>315</v>
      </c>
      <c r="B236" t="s">
        <v>111</v>
      </c>
      <c r="C236" t="s">
        <v>904</v>
      </c>
      <c r="D236" t="s">
        <v>766</v>
      </c>
      <c r="E236" t="s">
        <v>766</v>
      </c>
      <c r="F236">
        <v>40</v>
      </c>
      <c r="G236">
        <v>3</v>
      </c>
      <c r="H236">
        <v>0</v>
      </c>
      <c r="I236">
        <v>0</v>
      </c>
      <c r="J236">
        <v>0</v>
      </c>
    </row>
    <row r="237" spans="1:10" x14ac:dyDescent="0.25">
      <c r="A237" t="s">
        <v>373</v>
      </c>
      <c r="B237" t="s">
        <v>825</v>
      </c>
      <c r="C237" t="s">
        <v>1236</v>
      </c>
      <c r="D237" t="s">
        <v>767</v>
      </c>
      <c r="E237" t="s">
        <v>767</v>
      </c>
      <c r="F237">
        <v>40</v>
      </c>
      <c r="G237">
        <v>3</v>
      </c>
      <c r="H237">
        <v>5</v>
      </c>
      <c r="I237">
        <v>0</v>
      </c>
      <c r="J237">
        <v>132</v>
      </c>
    </row>
    <row r="238" spans="1:10" x14ac:dyDescent="0.25">
      <c r="A238" t="s">
        <v>332</v>
      </c>
      <c r="B238" t="s">
        <v>333</v>
      </c>
      <c r="C238" t="s">
        <v>904</v>
      </c>
      <c r="D238" t="s">
        <v>892</v>
      </c>
      <c r="E238" t="s">
        <v>767</v>
      </c>
      <c r="F238">
        <v>40</v>
      </c>
      <c r="G238">
        <v>3</v>
      </c>
      <c r="H238">
        <v>0</v>
      </c>
      <c r="I238">
        <v>0</v>
      </c>
      <c r="J238">
        <v>4</v>
      </c>
    </row>
    <row r="239" spans="1:10" x14ac:dyDescent="0.25">
      <c r="A239" t="s">
        <v>369</v>
      </c>
      <c r="B239" t="s">
        <v>825</v>
      </c>
      <c r="C239" t="s">
        <v>1135</v>
      </c>
      <c r="D239" t="s">
        <v>971</v>
      </c>
      <c r="E239" t="s">
        <v>971</v>
      </c>
      <c r="F239">
        <v>40</v>
      </c>
      <c r="G239">
        <v>3</v>
      </c>
      <c r="H239">
        <v>5</v>
      </c>
      <c r="I239">
        <v>0</v>
      </c>
      <c r="J239">
        <v>0</v>
      </c>
    </row>
  </sheetData>
  <phoneticPr fontId="7" type="noConversion"/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workbookViewId="0">
      <pane ySplit="1" topLeftCell="A2" activePane="bottomLeft" state="frozen"/>
      <selection pane="bottomLeft" activeCell="A2" sqref="A2:B2"/>
    </sheetView>
  </sheetViews>
  <sheetFormatPr defaultRowHeight="15" x14ac:dyDescent="0.25"/>
  <cols>
    <col min="1" max="1" width="18.5703125" customWidth="1"/>
    <col min="2" max="2" width="15.7109375" customWidth="1"/>
    <col min="3" max="3" width="11.7109375" customWidth="1"/>
    <col min="4" max="4" width="56.85546875" bestFit="1" customWidth="1"/>
    <col min="5" max="5" width="14.42578125" customWidth="1"/>
    <col min="6" max="8" width="15.28515625" customWidth="1"/>
  </cols>
  <sheetData>
    <row r="1" spans="1:8" s="1" customFormat="1" x14ac:dyDescent="0.25">
      <c r="A1" s="1" t="s">
        <v>509</v>
      </c>
      <c r="B1" s="1" t="s">
        <v>510</v>
      </c>
      <c r="C1" s="1" t="s">
        <v>511</v>
      </c>
      <c r="D1" s="1" t="s">
        <v>514</v>
      </c>
      <c r="E1" s="1" t="s">
        <v>512</v>
      </c>
      <c r="F1" s="1" t="s">
        <v>513</v>
      </c>
      <c r="G1" s="1" t="s">
        <v>513</v>
      </c>
      <c r="H1" s="1" t="s">
        <v>513</v>
      </c>
    </row>
    <row r="2" spans="1:8" x14ac:dyDescent="0.25">
      <c r="A2">
        <v>2402</v>
      </c>
      <c r="B2">
        <v>2472</v>
      </c>
      <c r="C2">
        <v>40</v>
      </c>
      <c r="D2">
        <v>0</v>
      </c>
      <c r="E2">
        <v>30</v>
      </c>
      <c r="F2">
        <v>0</v>
      </c>
      <c r="G2">
        <v>0</v>
      </c>
      <c r="H2">
        <v>0</v>
      </c>
    </row>
    <row r="3" spans="1:8" x14ac:dyDescent="0.25">
      <c r="A3">
        <v>2402</v>
      </c>
      <c r="B3">
        <v>2472</v>
      </c>
      <c r="C3">
        <v>40</v>
      </c>
      <c r="D3">
        <v>0</v>
      </c>
      <c r="E3">
        <v>20</v>
      </c>
      <c r="F3">
        <v>0</v>
      </c>
      <c r="G3">
        <v>0</v>
      </c>
      <c r="H3">
        <v>0</v>
      </c>
    </row>
    <row r="4" spans="1:8" x14ac:dyDescent="0.25">
      <c r="A4">
        <v>2402</v>
      </c>
      <c r="B4">
        <v>2472</v>
      </c>
      <c r="C4">
        <v>40</v>
      </c>
      <c r="D4">
        <v>0</v>
      </c>
      <c r="E4">
        <v>36</v>
      </c>
      <c r="F4">
        <v>0</v>
      </c>
      <c r="G4">
        <v>0</v>
      </c>
      <c r="H4">
        <v>0</v>
      </c>
    </row>
    <row r="5" spans="1:8" x14ac:dyDescent="0.25">
      <c r="A5">
        <v>2402</v>
      </c>
      <c r="B5">
        <v>2482</v>
      </c>
      <c r="C5">
        <v>40</v>
      </c>
      <c r="D5">
        <v>0</v>
      </c>
      <c r="E5">
        <v>20</v>
      </c>
      <c r="F5">
        <v>0</v>
      </c>
      <c r="G5">
        <v>0</v>
      </c>
      <c r="H5">
        <v>0</v>
      </c>
    </row>
    <row r="6" spans="1:8" x14ac:dyDescent="0.25">
      <c r="A6">
        <v>2402</v>
      </c>
      <c r="B6">
        <v>2482</v>
      </c>
      <c r="C6">
        <v>40</v>
      </c>
      <c r="D6">
        <v>0</v>
      </c>
      <c r="E6">
        <v>30</v>
      </c>
      <c r="F6">
        <v>0</v>
      </c>
      <c r="G6">
        <v>0</v>
      </c>
      <c r="H6">
        <v>0</v>
      </c>
    </row>
    <row r="7" spans="1:8" x14ac:dyDescent="0.25">
      <c r="A7">
        <v>2402</v>
      </c>
      <c r="B7">
        <v>2482</v>
      </c>
      <c r="C7">
        <v>40</v>
      </c>
      <c r="D7">
        <v>0</v>
      </c>
      <c r="E7">
        <v>36</v>
      </c>
      <c r="F7">
        <v>0</v>
      </c>
      <c r="G7">
        <v>0</v>
      </c>
      <c r="H7">
        <v>0</v>
      </c>
    </row>
    <row r="8" spans="1:8" x14ac:dyDescent="0.25">
      <c r="A8">
        <v>2402</v>
      </c>
      <c r="B8">
        <v>2482</v>
      </c>
      <c r="C8">
        <v>40</v>
      </c>
      <c r="D8">
        <v>0</v>
      </c>
      <c r="E8">
        <v>23</v>
      </c>
      <c r="F8">
        <v>0</v>
      </c>
      <c r="G8">
        <v>0</v>
      </c>
      <c r="H8">
        <v>0</v>
      </c>
    </row>
    <row r="9" spans="1:8" x14ac:dyDescent="0.25">
      <c r="A9">
        <v>2402</v>
      </c>
      <c r="B9">
        <v>2482</v>
      </c>
      <c r="C9">
        <v>20</v>
      </c>
      <c r="D9">
        <v>0</v>
      </c>
      <c r="E9">
        <v>20</v>
      </c>
      <c r="F9">
        <v>0</v>
      </c>
      <c r="G9">
        <v>0</v>
      </c>
      <c r="H9">
        <v>0</v>
      </c>
    </row>
    <row r="10" spans="1:8" x14ac:dyDescent="0.25">
      <c r="A10">
        <v>2457</v>
      </c>
      <c r="B10">
        <v>2477</v>
      </c>
      <c r="C10">
        <v>20</v>
      </c>
      <c r="D10" t="s">
        <v>80</v>
      </c>
      <c r="E10">
        <v>20</v>
      </c>
      <c r="F10">
        <v>0</v>
      </c>
      <c r="G10">
        <v>0</v>
      </c>
      <c r="H10">
        <v>0</v>
      </c>
    </row>
    <row r="11" spans="1:8" x14ac:dyDescent="0.25">
      <c r="A11">
        <v>2457</v>
      </c>
      <c r="B11">
        <v>2482</v>
      </c>
      <c r="C11">
        <v>20</v>
      </c>
      <c r="D11" t="s">
        <v>80</v>
      </c>
      <c r="E11">
        <v>20</v>
      </c>
      <c r="F11">
        <v>0</v>
      </c>
      <c r="G11">
        <v>0</v>
      </c>
      <c r="H11">
        <v>0</v>
      </c>
    </row>
    <row r="12" spans="1:8" x14ac:dyDescent="0.25">
      <c r="A12">
        <v>2474</v>
      </c>
      <c r="B12">
        <v>2494</v>
      </c>
      <c r="C12">
        <v>20</v>
      </c>
      <c r="D12" t="s">
        <v>82</v>
      </c>
      <c r="E12">
        <v>23</v>
      </c>
      <c r="F12">
        <v>0</v>
      </c>
      <c r="G12">
        <v>0</v>
      </c>
      <c r="H12">
        <v>0</v>
      </c>
    </row>
    <row r="13" spans="1:8" x14ac:dyDescent="0.25">
      <c r="A13">
        <v>2474</v>
      </c>
      <c r="B13">
        <v>2494</v>
      </c>
      <c r="C13">
        <v>20</v>
      </c>
      <c r="D13" t="s">
        <v>508</v>
      </c>
      <c r="E13">
        <v>20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3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4.42578125" customWidth="1"/>
    <col min="2" max="2" width="18.7109375" customWidth="1"/>
    <col min="4" max="4" width="15.7109375" customWidth="1"/>
    <col min="5" max="5" width="16.85546875" customWidth="1"/>
    <col min="6" max="6" width="15" customWidth="1"/>
    <col min="7" max="7" width="16" customWidth="1"/>
    <col min="8" max="8" width="16.5703125" customWidth="1"/>
    <col min="9" max="9" width="16.140625" customWidth="1"/>
    <col min="10" max="10" width="18.42578125" customWidth="1"/>
    <col min="11" max="11" width="19.140625" customWidth="1"/>
    <col min="12" max="12" width="20.85546875" customWidth="1"/>
    <col min="13" max="13" width="19.42578125" customWidth="1"/>
    <col min="14" max="14" width="16.85546875" customWidth="1"/>
    <col min="15" max="15" width="16.7109375" customWidth="1"/>
    <col min="16" max="16" width="16.5703125" customWidth="1"/>
  </cols>
  <sheetData>
    <row r="1" spans="1:16" s="1" customFormat="1" x14ac:dyDescent="0.25">
      <c r="A1" s="1" t="s">
        <v>515</v>
      </c>
      <c r="B1" s="1" t="s">
        <v>516</v>
      </c>
      <c r="C1" s="1" t="s">
        <v>517</v>
      </c>
      <c r="D1" s="1" t="s">
        <v>518</v>
      </c>
      <c r="E1" s="1" t="s">
        <v>519</v>
      </c>
      <c r="F1" s="1" t="s">
        <v>513</v>
      </c>
      <c r="G1" s="1" t="s">
        <v>520</v>
      </c>
      <c r="H1" s="1" t="s">
        <v>521</v>
      </c>
      <c r="I1" s="1" t="s">
        <v>522</v>
      </c>
      <c r="J1" s="1" t="s">
        <v>523</v>
      </c>
      <c r="K1" s="1" t="s">
        <v>524</v>
      </c>
      <c r="L1" s="1" t="s">
        <v>525</v>
      </c>
      <c r="M1" s="1" t="s">
        <v>526</v>
      </c>
      <c r="N1" s="1" t="s">
        <v>527</v>
      </c>
      <c r="O1" s="1" t="s">
        <v>528</v>
      </c>
      <c r="P1" s="1" t="s">
        <v>529</v>
      </c>
    </row>
    <row r="2" spans="1:16" x14ac:dyDescent="0.25">
      <c r="A2" t="s">
        <v>530</v>
      </c>
      <c r="B2" t="s">
        <v>96</v>
      </c>
      <c r="C2">
        <v>0</v>
      </c>
      <c r="D2">
        <v>6</v>
      </c>
      <c r="E2">
        <v>1</v>
      </c>
      <c r="F2">
        <v>0</v>
      </c>
      <c r="G2" t="s">
        <v>42</v>
      </c>
    </row>
    <row r="3" spans="1:16" x14ac:dyDescent="0.25">
      <c r="A3" t="s">
        <v>530</v>
      </c>
      <c r="B3" t="s">
        <v>96</v>
      </c>
      <c r="C3">
        <v>0</v>
      </c>
      <c r="D3">
        <v>6</v>
      </c>
      <c r="E3">
        <v>1</v>
      </c>
      <c r="F3">
        <v>0</v>
      </c>
      <c r="G3" t="s">
        <v>547</v>
      </c>
    </row>
    <row r="4" spans="1:16" x14ac:dyDescent="0.25">
      <c r="A4" t="s">
        <v>531</v>
      </c>
      <c r="B4" t="s">
        <v>96</v>
      </c>
      <c r="C4">
        <v>0</v>
      </c>
      <c r="D4">
        <v>0</v>
      </c>
      <c r="E4">
        <v>1</v>
      </c>
      <c r="F4">
        <v>0</v>
      </c>
      <c r="G4" t="s">
        <v>44</v>
      </c>
    </row>
    <row r="5" spans="1:16" x14ac:dyDescent="0.25">
      <c r="A5" t="s">
        <v>532</v>
      </c>
      <c r="B5" t="s">
        <v>96</v>
      </c>
      <c r="C5">
        <v>0</v>
      </c>
      <c r="D5">
        <v>0</v>
      </c>
      <c r="E5">
        <v>2</v>
      </c>
      <c r="F5">
        <v>0</v>
      </c>
      <c r="G5" t="s">
        <v>595</v>
      </c>
      <c r="H5" t="s">
        <v>47</v>
      </c>
    </row>
    <row r="6" spans="1:16" x14ac:dyDescent="0.25">
      <c r="A6" t="s">
        <v>532</v>
      </c>
      <c r="B6" t="s">
        <v>96</v>
      </c>
      <c r="C6">
        <v>0</v>
      </c>
      <c r="D6">
        <v>0</v>
      </c>
      <c r="E6">
        <v>1</v>
      </c>
      <c r="F6">
        <v>0</v>
      </c>
      <c r="G6" t="s">
        <v>595</v>
      </c>
    </row>
    <row r="7" spans="1:16" x14ac:dyDescent="0.25">
      <c r="A7" t="s">
        <v>531</v>
      </c>
      <c r="B7" t="s">
        <v>96</v>
      </c>
      <c r="C7">
        <v>0</v>
      </c>
      <c r="D7">
        <v>0</v>
      </c>
      <c r="E7">
        <v>1</v>
      </c>
      <c r="F7">
        <v>0</v>
      </c>
      <c r="G7" t="s">
        <v>45</v>
      </c>
    </row>
    <row r="8" spans="1:16" x14ac:dyDescent="0.25">
      <c r="A8" t="s">
        <v>531</v>
      </c>
      <c r="B8" t="s">
        <v>96</v>
      </c>
      <c r="C8">
        <v>0</v>
      </c>
      <c r="D8">
        <v>0</v>
      </c>
      <c r="E8">
        <v>1</v>
      </c>
      <c r="F8">
        <v>0</v>
      </c>
      <c r="G8" t="s">
        <v>869</v>
      </c>
    </row>
    <row r="9" spans="1:16" x14ac:dyDescent="0.25">
      <c r="A9" t="s">
        <v>861</v>
      </c>
      <c r="B9" t="s">
        <v>96</v>
      </c>
      <c r="C9">
        <v>0</v>
      </c>
      <c r="D9">
        <v>0</v>
      </c>
      <c r="E9">
        <v>1</v>
      </c>
      <c r="F9">
        <v>0</v>
      </c>
      <c r="G9" t="s">
        <v>595</v>
      </c>
    </row>
    <row r="10" spans="1:16" x14ac:dyDescent="0.25">
      <c r="A10" t="s">
        <v>533</v>
      </c>
      <c r="B10" t="s">
        <v>96</v>
      </c>
      <c r="C10">
        <v>0</v>
      </c>
      <c r="D10">
        <v>0</v>
      </c>
      <c r="E10">
        <v>1</v>
      </c>
      <c r="F10">
        <v>0</v>
      </c>
      <c r="G10" t="s">
        <v>43</v>
      </c>
    </row>
    <row r="11" spans="1:16" x14ac:dyDescent="0.25">
      <c r="A11" t="s">
        <v>533</v>
      </c>
      <c r="B11" t="s">
        <v>96</v>
      </c>
      <c r="C11">
        <v>0</v>
      </c>
      <c r="D11">
        <v>0</v>
      </c>
      <c r="E11">
        <v>2</v>
      </c>
      <c r="F11">
        <v>0</v>
      </c>
      <c r="G11" t="s">
        <v>43</v>
      </c>
      <c r="H11" t="s">
        <v>46</v>
      </c>
    </row>
    <row r="12" spans="1:16" x14ac:dyDescent="0.25">
      <c r="A12" t="s">
        <v>533</v>
      </c>
      <c r="B12" t="s">
        <v>96</v>
      </c>
      <c r="C12">
        <v>0</v>
      </c>
      <c r="D12">
        <v>0</v>
      </c>
      <c r="E12">
        <v>2</v>
      </c>
      <c r="F12">
        <v>0</v>
      </c>
      <c r="G12" t="s">
        <v>43</v>
      </c>
      <c r="H12" t="s">
        <v>772</v>
      </c>
    </row>
    <row r="13" spans="1:16" x14ac:dyDescent="0.25">
      <c r="A13" t="s">
        <v>862</v>
      </c>
      <c r="B13" t="s">
        <v>96</v>
      </c>
      <c r="C13">
        <v>0</v>
      </c>
      <c r="D13">
        <v>0</v>
      </c>
      <c r="E13">
        <v>1</v>
      </c>
      <c r="F13">
        <v>0</v>
      </c>
      <c r="G13" t="s">
        <v>44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56"/>
  <sheetViews>
    <sheetView workbookViewId="0">
      <pane ySplit="1" topLeftCell="A30" activePane="bottomLeft" state="frozen"/>
      <selection pane="bottomLeft" activeCell="H160" sqref="H160"/>
    </sheetView>
  </sheetViews>
  <sheetFormatPr defaultRowHeight="15" x14ac:dyDescent="0.25"/>
  <cols>
    <col min="1" max="1" width="17.7109375" customWidth="1"/>
    <col min="2" max="2" width="15.7109375" customWidth="1"/>
    <col min="3" max="3" width="12" customWidth="1"/>
    <col min="4" max="4" width="60" bestFit="1" customWidth="1"/>
    <col min="5" max="5" width="11.5703125" customWidth="1"/>
    <col min="6" max="8" width="15.7109375" customWidth="1"/>
  </cols>
  <sheetData>
    <row r="1" spans="1:8" s="1" customFormat="1" x14ac:dyDescent="0.25">
      <c r="A1" s="1" t="s">
        <v>779</v>
      </c>
      <c r="B1" s="1" t="s">
        <v>780</v>
      </c>
      <c r="C1" s="1" t="s">
        <v>511</v>
      </c>
      <c r="D1" s="1" t="s">
        <v>514</v>
      </c>
      <c r="E1" s="1" t="s">
        <v>512</v>
      </c>
      <c r="F1" s="1" t="s">
        <v>515</v>
      </c>
      <c r="G1" s="1" t="s">
        <v>513</v>
      </c>
      <c r="H1" s="1" t="s">
        <v>513</v>
      </c>
    </row>
    <row r="2" spans="1:8" x14ac:dyDescent="0.25">
      <c r="A2">
        <v>4910</v>
      </c>
      <c r="B2">
        <v>4990</v>
      </c>
      <c r="C2">
        <v>20</v>
      </c>
      <c r="D2">
        <v>0</v>
      </c>
      <c r="E2">
        <v>20</v>
      </c>
      <c r="F2">
        <v>0</v>
      </c>
      <c r="G2">
        <v>0</v>
      </c>
      <c r="H2">
        <v>0</v>
      </c>
    </row>
    <row r="3" spans="1:8" x14ac:dyDescent="0.25">
      <c r="A3">
        <v>4940</v>
      </c>
      <c r="B3">
        <v>4990</v>
      </c>
      <c r="C3">
        <v>20</v>
      </c>
      <c r="D3">
        <v>0</v>
      </c>
      <c r="E3">
        <v>33</v>
      </c>
      <c r="F3">
        <v>0</v>
      </c>
      <c r="G3">
        <v>0</v>
      </c>
      <c r="H3">
        <v>0</v>
      </c>
    </row>
    <row r="4" spans="1:8" x14ac:dyDescent="0.25">
      <c r="A4">
        <v>5030</v>
      </c>
      <c r="B4">
        <v>5090</v>
      </c>
      <c r="C4">
        <v>20</v>
      </c>
      <c r="D4">
        <v>0</v>
      </c>
      <c r="E4">
        <v>20</v>
      </c>
      <c r="F4">
        <v>0</v>
      </c>
      <c r="G4">
        <v>0</v>
      </c>
      <c r="H4">
        <v>0</v>
      </c>
    </row>
    <row r="5" spans="1:8" x14ac:dyDescent="0.25">
      <c r="A5">
        <v>5170</v>
      </c>
      <c r="B5">
        <v>5250</v>
      </c>
      <c r="C5">
        <v>80</v>
      </c>
      <c r="D5">
        <v>0</v>
      </c>
      <c r="E5">
        <v>17</v>
      </c>
      <c r="F5">
        <v>0</v>
      </c>
      <c r="G5">
        <v>0</v>
      </c>
      <c r="H5">
        <v>0</v>
      </c>
    </row>
    <row r="6" spans="1:8" x14ac:dyDescent="0.25">
      <c r="A6">
        <v>5170</v>
      </c>
      <c r="B6">
        <v>5250</v>
      </c>
      <c r="C6">
        <v>80</v>
      </c>
      <c r="D6">
        <v>0</v>
      </c>
      <c r="E6">
        <v>23</v>
      </c>
      <c r="F6" t="s">
        <v>531</v>
      </c>
      <c r="G6">
        <v>0</v>
      </c>
      <c r="H6">
        <v>0</v>
      </c>
    </row>
    <row r="7" spans="1:8" x14ac:dyDescent="0.25">
      <c r="A7">
        <v>5170</v>
      </c>
      <c r="B7">
        <v>5250</v>
      </c>
      <c r="C7">
        <v>80</v>
      </c>
      <c r="D7">
        <v>0</v>
      </c>
      <c r="E7">
        <v>20</v>
      </c>
      <c r="F7" t="s">
        <v>531</v>
      </c>
      <c r="G7">
        <v>0</v>
      </c>
      <c r="H7">
        <v>0</v>
      </c>
    </row>
    <row r="8" spans="1:8" x14ac:dyDescent="0.25">
      <c r="A8">
        <v>5170</v>
      </c>
      <c r="B8">
        <v>5250</v>
      </c>
      <c r="C8">
        <v>80</v>
      </c>
      <c r="D8">
        <v>0</v>
      </c>
      <c r="E8">
        <v>30</v>
      </c>
      <c r="F8" t="s">
        <v>530</v>
      </c>
      <c r="G8">
        <v>0</v>
      </c>
      <c r="H8">
        <v>0</v>
      </c>
    </row>
    <row r="9" spans="1:8" x14ac:dyDescent="0.25">
      <c r="A9">
        <v>5170</v>
      </c>
      <c r="B9">
        <v>5250</v>
      </c>
      <c r="C9">
        <v>80</v>
      </c>
      <c r="D9" t="s">
        <v>83</v>
      </c>
      <c r="E9">
        <v>24</v>
      </c>
      <c r="F9" t="s">
        <v>530</v>
      </c>
      <c r="G9">
        <v>0</v>
      </c>
      <c r="H9">
        <v>0</v>
      </c>
    </row>
    <row r="10" spans="1:8" x14ac:dyDescent="0.25">
      <c r="A10">
        <v>5170</v>
      </c>
      <c r="B10">
        <v>5250</v>
      </c>
      <c r="C10">
        <v>80</v>
      </c>
      <c r="D10">
        <v>0</v>
      </c>
      <c r="E10">
        <v>18</v>
      </c>
      <c r="F10">
        <v>0</v>
      </c>
      <c r="G10">
        <v>0</v>
      </c>
      <c r="H10">
        <v>0</v>
      </c>
    </row>
    <row r="11" spans="1:8" x14ac:dyDescent="0.25">
      <c r="A11">
        <v>5170</v>
      </c>
      <c r="B11">
        <v>5250</v>
      </c>
      <c r="C11">
        <v>80</v>
      </c>
      <c r="D11" t="s">
        <v>83</v>
      </c>
      <c r="E11">
        <v>20</v>
      </c>
      <c r="F11" t="s">
        <v>531</v>
      </c>
      <c r="G11">
        <v>0</v>
      </c>
      <c r="H11">
        <v>0</v>
      </c>
    </row>
    <row r="12" spans="1:8" x14ac:dyDescent="0.25">
      <c r="A12">
        <v>5170</v>
      </c>
      <c r="B12">
        <v>5250</v>
      </c>
      <c r="C12">
        <v>80</v>
      </c>
      <c r="D12" t="s">
        <v>83</v>
      </c>
      <c r="E12">
        <v>23</v>
      </c>
      <c r="F12" t="s">
        <v>531</v>
      </c>
      <c r="G12">
        <v>0</v>
      </c>
      <c r="H12">
        <v>0</v>
      </c>
    </row>
    <row r="13" spans="1:8" x14ac:dyDescent="0.25">
      <c r="A13">
        <v>5170</v>
      </c>
      <c r="B13">
        <v>5250</v>
      </c>
      <c r="C13">
        <v>40</v>
      </c>
      <c r="D13">
        <v>0</v>
      </c>
      <c r="E13">
        <v>30</v>
      </c>
      <c r="F13">
        <v>0</v>
      </c>
      <c r="G13">
        <v>0</v>
      </c>
      <c r="H13">
        <v>0</v>
      </c>
    </row>
    <row r="14" spans="1:8" x14ac:dyDescent="0.25">
      <c r="A14">
        <v>5170</v>
      </c>
      <c r="B14">
        <v>5250</v>
      </c>
      <c r="C14">
        <v>20</v>
      </c>
      <c r="D14" t="s">
        <v>83</v>
      </c>
      <c r="E14">
        <v>20</v>
      </c>
      <c r="F14">
        <v>0</v>
      </c>
      <c r="G14">
        <v>0</v>
      </c>
      <c r="H14">
        <v>0</v>
      </c>
    </row>
    <row r="15" spans="1:8" x14ac:dyDescent="0.25">
      <c r="A15">
        <v>5170</v>
      </c>
      <c r="B15">
        <v>5250</v>
      </c>
      <c r="C15">
        <v>80</v>
      </c>
      <c r="D15">
        <v>0</v>
      </c>
      <c r="E15">
        <v>16</v>
      </c>
      <c r="F15">
        <v>0</v>
      </c>
      <c r="G15">
        <v>0</v>
      </c>
      <c r="H15">
        <v>0</v>
      </c>
    </row>
    <row r="16" spans="1:8" x14ac:dyDescent="0.25">
      <c r="A16">
        <v>5170</v>
      </c>
      <c r="B16">
        <v>5330</v>
      </c>
      <c r="C16">
        <v>160</v>
      </c>
      <c r="D16" t="s">
        <v>80</v>
      </c>
      <c r="E16">
        <v>20</v>
      </c>
      <c r="F16">
        <v>0</v>
      </c>
      <c r="G16">
        <v>0</v>
      </c>
      <c r="H16">
        <v>0</v>
      </c>
    </row>
    <row r="17" spans="1:8" x14ac:dyDescent="0.25">
      <c r="A17">
        <v>5170</v>
      </c>
      <c r="B17">
        <v>5330</v>
      </c>
      <c r="C17">
        <v>160</v>
      </c>
      <c r="D17">
        <v>0</v>
      </c>
      <c r="E17">
        <v>24</v>
      </c>
      <c r="F17" t="s">
        <v>530</v>
      </c>
      <c r="G17">
        <v>0</v>
      </c>
      <c r="H17">
        <v>0</v>
      </c>
    </row>
    <row r="18" spans="1:8" x14ac:dyDescent="0.25">
      <c r="A18">
        <v>5250</v>
      </c>
      <c r="B18">
        <v>5330</v>
      </c>
      <c r="C18">
        <v>80</v>
      </c>
      <c r="D18" t="s">
        <v>81</v>
      </c>
      <c r="E18">
        <v>23</v>
      </c>
      <c r="F18" t="s">
        <v>531</v>
      </c>
      <c r="G18">
        <v>0</v>
      </c>
      <c r="H18">
        <v>0</v>
      </c>
    </row>
    <row r="19" spans="1:8" x14ac:dyDescent="0.25">
      <c r="A19">
        <v>5250</v>
      </c>
      <c r="B19">
        <v>5330</v>
      </c>
      <c r="C19">
        <v>80</v>
      </c>
      <c r="D19" t="s">
        <v>81</v>
      </c>
      <c r="E19">
        <v>20</v>
      </c>
      <c r="F19" t="s">
        <v>531</v>
      </c>
      <c r="G19">
        <v>0</v>
      </c>
      <c r="H19">
        <v>0</v>
      </c>
    </row>
    <row r="20" spans="1:8" x14ac:dyDescent="0.25">
      <c r="A20">
        <v>5250</v>
      </c>
      <c r="B20">
        <v>5330</v>
      </c>
      <c r="C20">
        <v>80</v>
      </c>
      <c r="D20" t="s">
        <v>81</v>
      </c>
      <c r="E20">
        <v>18</v>
      </c>
      <c r="F20">
        <v>0</v>
      </c>
      <c r="G20">
        <v>0</v>
      </c>
      <c r="H20">
        <v>0</v>
      </c>
    </row>
    <row r="21" spans="1:8" x14ac:dyDescent="0.25">
      <c r="A21">
        <v>5250</v>
      </c>
      <c r="B21">
        <v>5330</v>
      </c>
      <c r="C21">
        <v>80</v>
      </c>
      <c r="D21" t="s">
        <v>81</v>
      </c>
      <c r="E21">
        <v>30</v>
      </c>
      <c r="F21" t="s">
        <v>530</v>
      </c>
      <c r="G21">
        <v>0</v>
      </c>
      <c r="H21">
        <v>0</v>
      </c>
    </row>
    <row r="22" spans="1:8" x14ac:dyDescent="0.25">
      <c r="A22">
        <v>5250</v>
      </c>
      <c r="B22">
        <v>5330</v>
      </c>
      <c r="C22">
        <v>80</v>
      </c>
      <c r="D22">
        <v>0</v>
      </c>
      <c r="E22">
        <v>23</v>
      </c>
      <c r="F22" t="s">
        <v>531</v>
      </c>
      <c r="G22">
        <v>0</v>
      </c>
      <c r="H22">
        <v>0</v>
      </c>
    </row>
    <row r="23" spans="1:8" x14ac:dyDescent="0.25">
      <c r="A23">
        <v>5250</v>
      </c>
      <c r="B23">
        <v>5330</v>
      </c>
      <c r="C23">
        <v>80</v>
      </c>
      <c r="D23">
        <v>0</v>
      </c>
      <c r="E23">
        <v>24</v>
      </c>
      <c r="F23">
        <v>0</v>
      </c>
      <c r="G23">
        <v>0</v>
      </c>
      <c r="H23">
        <v>0</v>
      </c>
    </row>
    <row r="24" spans="1:8" x14ac:dyDescent="0.25">
      <c r="A24">
        <v>5250</v>
      </c>
      <c r="B24">
        <v>5330</v>
      </c>
      <c r="C24">
        <v>80</v>
      </c>
      <c r="D24" t="s">
        <v>81</v>
      </c>
      <c r="E24">
        <v>24</v>
      </c>
      <c r="F24" t="s">
        <v>530</v>
      </c>
      <c r="G24">
        <v>0</v>
      </c>
      <c r="H24">
        <v>0</v>
      </c>
    </row>
    <row r="25" spans="1:8" x14ac:dyDescent="0.25">
      <c r="A25">
        <v>5250</v>
      </c>
      <c r="B25">
        <v>5330</v>
      </c>
      <c r="C25">
        <v>80</v>
      </c>
      <c r="D25">
        <v>0</v>
      </c>
      <c r="E25">
        <v>36</v>
      </c>
      <c r="F25" t="s">
        <v>533</v>
      </c>
      <c r="G25">
        <v>0</v>
      </c>
      <c r="H25">
        <v>0</v>
      </c>
    </row>
    <row r="26" spans="1:8" x14ac:dyDescent="0.25">
      <c r="A26">
        <v>5250</v>
      </c>
      <c r="B26">
        <v>5330</v>
      </c>
      <c r="C26">
        <v>80</v>
      </c>
      <c r="D26">
        <v>0</v>
      </c>
      <c r="E26">
        <v>20</v>
      </c>
      <c r="F26">
        <v>0</v>
      </c>
      <c r="G26">
        <v>0</v>
      </c>
      <c r="H26">
        <v>0</v>
      </c>
    </row>
    <row r="27" spans="1:8" x14ac:dyDescent="0.25">
      <c r="A27">
        <v>5250</v>
      </c>
      <c r="B27">
        <v>5330</v>
      </c>
      <c r="C27">
        <v>80</v>
      </c>
      <c r="D27">
        <v>0</v>
      </c>
      <c r="E27">
        <v>24</v>
      </c>
      <c r="F27" t="s">
        <v>530</v>
      </c>
      <c r="G27">
        <v>0</v>
      </c>
      <c r="H27">
        <v>0</v>
      </c>
    </row>
    <row r="28" spans="1:8" x14ac:dyDescent="0.25">
      <c r="A28">
        <v>5250</v>
      </c>
      <c r="B28">
        <v>5330</v>
      </c>
      <c r="C28">
        <v>80</v>
      </c>
      <c r="D28" t="s">
        <v>83</v>
      </c>
      <c r="E28" s="15">
        <v>30</v>
      </c>
      <c r="F28" t="s">
        <v>531</v>
      </c>
      <c r="G28">
        <v>0</v>
      </c>
      <c r="H28">
        <v>0</v>
      </c>
    </row>
    <row r="29" spans="1:8" x14ac:dyDescent="0.25">
      <c r="A29">
        <v>5250</v>
      </c>
      <c r="B29">
        <v>5330</v>
      </c>
      <c r="C29">
        <v>80</v>
      </c>
      <c r="D29" t="s">
        <v>538</v>
      </c>
      <c r="E29">
        <v>23</v>
      </c>
      <c r="F29" t="s">
        <v>531</v>
      </c>
      <c r="G29">
        <v>0</v>
      </c>
      <c r="H29">
        <v>0</v>
      </c>
    </row>
    <row r="30" spans="1:8" x14ac:dyDescent="0.25">
      <c r="A30">
        <v>5250</v>
      </c>
      <c r="B30">
        <v>5330</v>
      </c>
      <c r="C30">
        <v>40</v>
      </c>
      <c r="D30" t="s">
        <v>81</v>
      </c>
      <c r="E30">
        <v>30</v>
      </c>
      <c r="F30">
        <v>0</v>
      </c>
      <c r="G30">
        <v>0</v>
      </c>
      <c r="H30">
        <v>0</v>
      </c>
    </row>
    <row r="31" spans="1:8" x14ac:dyDescent="0.25">
      <c r="A31">
        <v>5250</v>
      </c>
      <c r="B31">
        <v>5330</v>
      </c>
      <c r="C31">
        <v>80</v>
      </c>
      <c r="D31" t="s">
        <v>538</v>
      </c>
      <c r="E31">
        <v>20</v>
      </c>
      <c r="F31">
        <v>0</v>
      </c>
      <c r="G31">
        <v>0</v>
      </c>
      <c r="H31">
        <v>0</v>
      </c>
    </row>
    <row r="32" spans="1:8" x14ac:dyDescent="0.25">
      <c r="A32">
        <v>5250</v>
      </c>
      <c r="B32">
        <v>5330</v>
      </c>
      <c r="C32">
        <v>20</v>
      </c>
      <c r="D32" t="s">
        <v>538</v>
      </c>
      <c r="E32">
        <v>20</v>
      </c>
      <c r="F32">
        <v>0</v>
      </c>
      <c r="G32">
        <v>0</v>
      </c>
      <c r="H32">
        <v>0</v>
      </c>
    </row>
    <row r="33" spans="1:8" x14ac:dyDescent="0.25">
      <c r="A33">
        <v>5250</v>
      </c>
      <c r="B33">
        <v>5330</v>
      </c>
      <c r="C33">
        <v>80</v>
      </c>
      <c r="D33" t="s">
        <v>83</v>
      </c>
      <c r="E33">
        <v>23</v>
      </c>
      <c r="F33" t="s">
        <v>531</v>
      </c>
      <c r="G33">
        <v>0</v>
      </c>
      <c r="H33">
        <v>0</v>
      </c>
    </row>
    <row r="34" spans="1:8" x14ac:dyDescent="0.25">
      <c r="A34">
        <v>5490</v>
      </c>
      <c r="B34">
        <v>5730</v>
      </c>
      <c r="C34">
        <v>160</v>
      </c>
      <c r="D34" t="s">
        <v>81</v>
      </c>
      <c r="E34">
        <v>24</v>
      </c>
      <c r="F34" t="s">
        <v>530</v>
      </c>
      <c r="G34">
        <v>0</v>
      </c>
      <c r="H34">
        <v>0</v>
      </c>
    </row>
    <row r="35" spans="1:8" x14ac:dyDescent="0.25">
      <c r="A35">
        <v>5490</v>
      </c>
      <c r="B35">
        <v>5730</v>
      </c>
      <c r="C35">
        <v>160</v>
      </c>
      <c r="D35" t="s">
        <v>80</v>
      </c>
      <c r="E35">
        <v>20</v>
      </c>
      <c r="F35">
        <v>0</v>
      </c>
      <c r="G35">
        <v>0</v>
      </c>
      <c r="H35">
        <v>0</v>
      </c>
    </row>
    <row r="36" spans="1:8" x14ac:dyDescent="0.25">
      <c r="A36">
        <v>5490</v>
      </c>
      <c r="B36">
        <v>5730</v>
      </c>
      <c r="C36">
        <v>160</v>
      </c>
      <c r="D36">
        <v>0</v>
      </c>
      <c r="E36">
        <v>30</v>
      </c>
      <c r="F36" t="s">
        <v>531</v>
      </c>
      <c r="G36">
        <v>0</v>
      </c>
      <c r="H36">
        <v>0</v>
      </c>
    </row>
    <row r="37" spans="1:8" x14ac:dyDescent="0.25">
      <c r="A37">
        <v>5490</v>
      </c>
      <c r="B37">
        <v>5730</v>
      </c>
      <c r="C37">
        <v>160</v>
      </c>
      <c r="D37">
        <v>0</v>
      </c>
      <c r="E37">
        <v>24</v>
      </c>
      <c r="F37" t="s">
        <v>530</v>
      </c>
      <c r="G37">
        <v>0</v>
      </c>
      <c r="H37">
        <v>0</v>
      </c>
    </row>
    <row r="38" spans="1:8" x14ac:dyDescent="0.25">
      <c r="A38">
        <v>5490</v>
      </c>
      <c r="B38">
        <v>5730</v>
      </c>
      <c r="C38">
        <v>160</v>
      </c>
      <c r="D38" t="s">
        <v>81</v>
      </c>
      <c r="E38">
        <v>30</v>
      </c>
      <c r="F38" t="s">
        <v>531</v>
      </c>
      <c r="G38">
        <v>0</v>
      </c>
      <c r="H38">
        <v>0</v>
      </c>
    </row>
    <row r="39" spans="1:8" x14ac:dyDescent="0.25">
      <c r="A39">
        <v>5490</v>
      </c>
      <c r="B39">
        <v>5730</v>
      </c>
      <c r="C39">
        <v>160</v>
      </c>
      <c r="D39" t="s">
        <v>81</v>
      </c>
      <c r="E39">
        <v>23</v>
      </c>
      <c r="F39" t="s">
        <v>532</v>
      </c>
      <c r="G39">
        <v>0</v>
      </c>
      <c r="H39">
        <v>0</v>
      </c>
    </row>
    <row r="40" spans="1:8" x14ac:dyDescent="0.25">
      <c r="A40">
        <v>5490</v>
      </c>
      <c r="B40">
        <v>5730</v>
      </c>
      <c r="C40">
        <v>160</v>
      </c>
      <c r="D40" t="s">
        <v>81</v>
      </c>
      <c r="E40">
        <v>20</v>
      </c>
      <c r="F40" t="s">
        <v>531</v>
      </c>
      <c r="G40">
        <v>0</v>
      </c>
      <c r="H40">
        <v>0</v>
      </c>
    </row>
    <row r="41" spans="1:8" x14ac:dyDescent="0.25">
      <c r="A41">
        <v>5490</v>
      </c>
      <c r="B41">
        <v>5710</v>
      </c>
      <c r="C41">
        <v>160</v>
      </c>
      <c r="D41" t="s">
        <v>81</v>
      </c>
      <c r="E41">
        <v>30</v>
      </c>
      <c r="F41" t="s">
        <v>531</v>
      </c>
      <c r="G41">
        <v>0</v>
      </c>
      <c r="H41">
        <v>0</v>
      </c>
    </row>
    <row r="42" spans="1:8" x14ac:dyDescent="0.25">
      <c r="A42">
        <v>5490</v>
      </c>
      <c r="B42">
        <v>5710</v>
      </c>
      <c r="C42">
        <v>160</v>
      </c>
      <c r="D42" t="s">
        <v>81</v>
      </c>
      <c r="E42">
        <v>20</v>
      </c>
      <c r="F42">
        <v>0</v>
      </c>
      <c r="G42">
        <v>0</v>
      </c>
      <c r="H42">
        <v>0</v>
      </c>
    </row>
    <row r="43" spans="1:8" x14ac:dyDescent="0.25">
      <c r="A43">
        <v>5490</v>
      </c>
      <c r="B43">
        <v>5710</v>
      </c>
      <c r="C43">
        <v>160</v>
      </c>
      <c r="D43" t="s">
        <v>81</v>
      </c>
      <c r="E43">
        <v>27</v>
      </c>
      <c r="F43">
        <v>0</v>
      </c>
      <c r="G43">
        <v>0</v>
      </c>
      <c r="H43">
        <v>0</v>
      </c>
    </row>
    <row r="44" spans="1:8" x14ac:dyDescent="0.25">
      <c r="A44">
        <v>5490</v>
      </c>
      <c r="B44">
        <v>5710</v>
      </c>
      <c r="C44">
        <v>40</v>
      </c>
      <c r="D44" t="s">
        <v>81</v>
      </c>
      <c r="E44">
        <v>30</v>
      </c>
      <c r="F44">
        <v>0</v>
      </c>
      <c r="G44">
        <v>0</v>
      </c>
      <c r="H44">
        <v>0</v>
      </c>
    </row>
    <row r="45" spans="1:8" x14ac:dyDescent="0.25">
      <c r="A45">
        <v>5490</v>
      </c>
      <c r="B45">
        <v>5710</v>
      </c>
      <c r="C45">
        <v>160</v>
      </c>
      <c r="D45" t="s">
        <v>81</v>
      </c>
      <c r="E45">
        <v>24</v>
      </c>
      <c r="F45" t="s">
        <v>531</v>
      </c>
      <c r="G45">
        <v>0</v>
      </c>
      <c r="H45">
        <v>0</v>
      </c>
    </row>
    <row r="46" spans="1:8" x14ac:dyDescent="0.25">
      <c r="A46">
        <v>5490</v>
      </c>
      <c r="B46">
        <v>5710</v>
      </c>
      <c r="C46">
        <v>160</v>
      </c>
      <c r="D46" t="s">
        <v>81</v>
      </c>
      <c r="E46">
        <v>26</v>
      </c>
      <c r="F46">
        <v>0</v>
      </c>
      <c r="G46">
        <v>0</v>
      </c>
      <c r="H46">
        <v>0</v>
      </c>
    </row>
    <row r="47" spans="1:8" x14ac:dyDescent="0.25">
      <c r="A47">
        <v>5490</v>
      </c>
      <c r="B47">
        <v>5710</v>
      </c>
      <c r="C47">
        <v>160</v>
      </c>
      <c r="D47" t="s">
        <v>81</v>
      </c>
      <c r="E47">
        <v>23</v>
      </c>
      <c r="F47" t="s">
        <v>532</v>
      </c>
      <c r="G47">
        <v>0</v>
      </c>
      <c r="H47">
        <v>0</v>
      </c>
    </row>
    <row r="48" spans="1:8" x14ac:dyDescent="0.25">
      <c r="A48">
        <v>5490</v>
      </c>
      <c r="B48">
        <v>5710</v>
      </c>
      <c r="C48">
        <v>20</v>
      </c>
      <c r="D48" t="s">
        <v>81</v>
      </c>
      <c r="E48">
        <v>27</v>
      </c>
      <c r="F48">
        <v>0</v>
      </c>
      <c r="G48">
        <v>0</v>
      </c>
      <c r="H48">
        <v>0</v>
      </c>
    </row>
    <row r="49" spans="1:8" x14ac:dyDescent="0.25">
      <c r="A49">
        <v>5490</v>
      </c>
      <c r="B49">
        <v>5590</v>
      </c>
      <c r="C49">
        <v>80</v>
      </c>
      <c r="D49" t="s">
        <v>81</v>
      </c>
      <c r="E49">
        <v>24</v>
      </c>
      <c r="F49" t="s">
        <v>530</v>
      </c>
      <c r="G49">
        <v>0</v>
      </c>
      <c r="H49">
        <v>0</v>
      </c>
    </row>
    <row r="50" spans="1:8" x14ac:dyDescent="0.25">
      <c r="A50">
        <v>5490</v>
      </c>
      <c r="B50">
        <v>5590</v>
      </c>
      <c r="C50">
        <v>80</v>
      </c>
      <c r="D50" t="s">
        <v>81</v>
      </c>
      <c r="E50">
        <v>30</v>
      </c>
      <c r="F50" t="s">
        <v>530</v>
      </c>
      <c r="G50">
        <v>0</v>
      </c>
      <c r="H50">
        <v>0</v>
      </c>
    </row>
    <row r="51" spans="1:8" x14ac:dyDescent="0.25">
      <c r="A51">
        <v>5490</v>
      </c>
      <c r="B51">
        <v>5590</v>
      </c>
      <c r="C51">
        <v>80</v>
      </c>
      <c r="D51">
        <v>0</v>
      </c>
      <c r="E51">
        <v>36</v>
      </c>
      <c r="F51" t="s">
        <v>533</v>
      </c>
      <c r="G51">
        <v>0</v>
      </c>
      <c r="H51">
        <v>0</v>
      </c>
    </row>
    <row r="52" spans="1:8" x14ac:dyDescent="0.25">
      <c r="A52">
        <v>5490</v>
      </c>
      <c r="B52">
        <v>5570</v>
      </c>
      <c r="C52">
        <v>80</v>
      </c>
      <c r="D52" t="s">
        <v>81</v>
      </c>
      <c r="E52">
        <v>30</v>
      </c>
      <c r="F52">
        <v>0</v>
      </c>
      <c r="G52">
        <v>0</v>
      </c>
      <c r="H52">
        <v>0</v>
      </c>
    </row>
    <row r="53" spans="1:8" x14ac:dyDescent="0.25">
      <c r="A53">
        <v>5490</v>
      </c>
      <c r="B53">
        <v>5650</v>
      </c>
      <c r="C53">
        <v>160</v>
      </c>
      <c r="D53" t="s">
        <v>81</v>
      </c>
      <c r="E53">
        <v>30</v>
      </c>
      <c r="F53" t="s">
        <v>530</v>
      </c>
      <c r="G53">
        <v>0</v>
      </c>
      <c r="H53">
        <v>0</v>
      </c>
    </row>
    <row r="54" spans="1:8" x14ac:dyDescent="0.25">
      <c r="A54">
        <v>5490</v>
      </c>
      <c r="B54">
        <v>5670</v>
      </c>
      <c r="C54">
        <v>160</v>
      </c>
      <c r="D54" t="s">
        <v>81</v>
      </c>
      <c r="E54">
        <v>20</v>
      </c>
      <c r="F54">
        <v>0</v>
      </c>
      <c r="G54">
        <v>0</v>
      </c>
      <c r="H54">
        <v>0</v>
      </c>
    </row>
    <row r="55" spans="1:8" x14ac:dyDescent="0.25">
      <c r="A55">
        <v>5490</v>
      </c>
      <c r="B55">
        <v>5670</v>
      </c>
      <c r="C55">
        <v>160</v>
      </c>
      <c r="D55" t="s">
        <v>81</v>
      </c>
      <c r="E55">
        <v>23</v>
      </c>
      <c r="F55" t="s">
        <v>531</v>
      </c>
      <c r="G55">
        <v>0</v>
      </c>
      <c r="H55">
        <v>0</v>
      </c>
    </row>
    <row r="56" spans="1:8" x14ac:dyDescent="0.25">
      <c r="A56">
        <v>5490</v>
      </c>
      <c r="B56">
        <v>5630</v>
      </c>
      <c r="C56">
        <v>80</v>
      </c>
      <c r="D56" t="s">
        <v>81</v>
      </c>
      <c r="E56">
        <v>30</v>
      </c>
      <c r="F56">
        <v>0</v>
      </c>
      <c r="G56">
        <v>0</v>
      </c>
      <c r="H56">
        <v>0</v>
      </c>
    </row>
    <row r="57" spans="1:8" x14ac:dyDescent="0.25">
      <c r="A57">
        <v>5650</v>
      </c>
      <c r="B57">
        <v>5730</v>
      </c>
      <c r="C57">
        <v>80</v>
      </c>
      <c r="D57" t="s">
        <v>81</v>
      </c>
      <c r="E57">
        <v>24</v>
      </c>
      <c r="F57" t="s">
        <v>530</v>
      </c>
      <c r="G57">
        <v>0</v>
      </c>
      <c r="H57">
        <v>0</v>
      </c>
    </row>
    <row r="58" spans="1:8" x14ac:dyDescent="0.25">
      <c r="A58">
        <v>5650</v>
      </c>
      <c r="B58">
        <v>5730</v>
      </c>
      <c r="C58">
        <v>80</v>
      </c>
      <c r="D58" t="s">
        <v>81</v>
      </c>
      <c r="E58">
        <v>30</v>
      </c>
      <c r="F58" t="s">
        <v>530</v>
      </c>
      <c r="G58">
        <v>0</v>
      </c>
      <c r="H58">
        <v>0</v>
      </c>
    </row>
    <row r="59" spans="1:8" x14ac:dyDescent="0.25">
      <c r="A59">
        <v>5650</v>
      </c>
      <c r="B59">
        <v>5730</v>
      </c>
      <c r="C59">
        <v>80</v>
      </c>
      <c r="D59">
        <v>0</v>
      </c>
      <c r="E59">
        <v>36</v>
      </c>
      <c r="F59" t="s">
        <v>533</v>
      </c>
      <c r="G59">
        <v>0</v>
      </c>
      <c r="H59">
        <v>0</v>
      </c>
    </row>
    <row r="60" spans="1:8" x14ac:dyDescent="0.25">
      <c r="A60">
        <v>5735</v>
      </c>
      <c r="B60">
        <v>5835</v>
      </c>
      <c r="C60">
        <v>80</v>
      </c>
      <c r="D60">
        <v>0</v>
      </c>
      <c r="E60">
        <v>23</v>
      </c>
      <c r="F60" t="s">
        <v>532</v>
      </c>
      <c r="G60">
        <v>0</v>
      </c>
      <c r="H60">
        <v>0</v>
      </c>
    </row>
    <row r="61" spans="1:8" x14ac:dyDescent="0.25">
      <c r="A61">
        <v>5735</v>
      </c>
      <c r="B61">
        <v>5835</v>
      </c>
      <c r="C61">
        <v>80</v>
      </c>
      <c r="D61">
        <v>0</v>
      </c>
      <c r="E61">
        <v>30</v>
      </c>
      <c r="F61" t="s">
        <v>530</v>
      </c>
      <c r="G61">
        <v>0</v>
      </c>
      <c r="H61">
        <v>0</v>
      </c>
    </row>
    <row r="62" spans="1:8" x14ac:dyDescent="0.25">
      <c r="A62">
        <v>5735</v>
      </c>
      <c r="B62">
        <v>5835</v>
      </c>
      <c r="C62">
        <v>80</v>
      </c>
      <c r="D62">
        <v>0</v>
      </c>
      <c r="E62">
        <v>20</v>
      </c>
      <c r="F62" t="s">
        <v>530</v>
      </c>
      <c r="G62">
        <v>0</v>
      </c>
      <c r="H62">
        <v>0</v>
      </c>
    </row>
    <row r="63" spans="1:8" x14ac:dyDescent="0.25">
      <c r="A63">
        <v>5735</v>
      </c>
      <c r="B63">
        <v>5835</v>
      </c>
      <c r="C63">
        <v>80</v>
      </c>
      <c r="D63">
        <v>0</v>
      </c>
      <c r="E63">
        <v>33</v>
      </c>
      <c r="F63" t="s">
        <v>530</v>
      </c>
      <c r="G63">
        <v>0</v>
      </c>
      <c r="H63">
        <v>0</v>
      </c>
    </row>
    <row r="64" spans="1:8" x14ac:dyDescent="0.25">
      <c r="A64">
        <v>5735</v>
      </c>
      <c r="B64">
        <v>5835</v>
      </c>
      <c r="C64">
        <v>80</v>
      </c>
      <c r="D64" t="s">
        <v>80</v>
      </c>
      <c r="E64">
        <v>20</v>
      </c>
      <c r="F64">
        <v>0</v>
      </c>
      <c r="G64">
        <v>0</v>
      </c>
      <c r="H64">
        <v>0</v>
      </c>
    </row>
    <row r="65" spans="1:8" x14ac:dyDescent="0.25">
      <c r="A65">
        <v>5735</v>
      </c>
      <c r="B65">
        <v>5855</v>
      </c>
      <c r="C65">
        <v>80</v>
      </c>
      <c r="D65">
        <v>0</v>
      </c>
      <c r="E65">
        <v>30</v>
      </c>
      <c r="F65" t="s">
        <v>530</v>
      </c>
      <c r="G65">
        <v>0</v>
      </c>
      <c r="H65">
        <v>0</v>
      </c>
    </row>
    <row r="66" spans="1:8" s="3" customFormat="1" x14ac:dyDescent="0.25">
      <c r="A66">
        <v>5735</v>
      </c>
      <c r="B66">
        <v>5835</v>
      </c>
      <c r="C66">
        <v>80</v>
      </c>
      <c r="D66">
        <v>0</v>
      </c>
      <c r="E66">
        <v>36</v>
      </c>
      <c r="F66" t="s">
        <v>533</v>
      </c>
      <c r="G66">
        <v>0</v>
      </c>
      <c r="H66">
        <v>0</v>
      </c>
    </row>
    <row r="67" spans="1:8" s="3" customFormat="1" x14ac:dyDescent="0.25">
      <c r="A67">
        <v>5735</v>
      </c>
      <c r="B67">
        <v>5835</v>
      </c>
      <c r="C67">
        <v>80</v>
      </c>
      <c r="D67">
        <v>0</v>
      </c>
      <c r="E67">
        <v>23</v>
      </c>
      <c r="F67" t="s">
        <v>531</v>
      </c>
      <c r="G67">
        <v>0</v>
      </c>
      <c r="H67">
        <v>0</v>
      </c>
    </row>
    <row r="68" spans="1:8" x14ac:dyDescent="0.25">
      <c r="A68">
        <v>5735</v>
      </c>
      <c r="B68">
        <v>5835</v>
      </c>
      <c r="C68">
        <v>80</v>
      </c>
      <c r="D68" t="s">
        <v>81</v>
      </c>
      <c r="E68">
        <v>30</v>
      </c>
      <c r="F68">
        <v>0</v>
      </c>
      <c r="G68">
        <v>0</v>
      </c>
      <c r="H68">
        <v>0</v>
      </c>
    </row>
    <row r="69" spans="1:8" x14ac:dyDescent="0.25">
      <c r="A69">
        <v>5735</v>
      </c>
      <c r="B69">
        <v>5875</v>
      </c>
      <c r="C69">
        <v>20</v>
      </c>
      <c r="D69" t="s">
        <v>81</v>
      </c>
      <c r="E69">
        <v>27</v>
      </c>
      <c r="F69">
        <v>0</v>
      </c>
      <c r="G69">
        <v>0</v>
      </c>
      <c r="H69">
        <v>0</v>
      </c>
    </row>
    <row r="70" spans="1:8" x14ac:dyDescent="0.25">
      <c r="A70">
        <v>5735</v>
      </c>
      <c r="B70">
        <v>5875</v>
      </c>
      <c r="C70">
        <v>20</v>
      </c>
      <c r="D70">
        <v>0</v>
      </c>
      <c r="E70">
        <v>30</v>
      </c>
      <c r="F70">
        <v>0</v>
      </c>
      <c r="G70">
        <v>0</v>
      </c>
      <c r="H70">
        <v>0</v>
      </c>
    </row>
    <row r="71" spans="1:8" x14ac:dyDescent="0.25">
      <c r="A71">
        <v>5735</v>
      </c>
      <c r="B71">
        <v>5875</v>
      </c>
      <c r="C71">
        <v>80</v>
      </c>
      <c r="D71">
        <v>0</v>
      </c>
      <c r="E71">
        <v>30</v>
      </c>
      <c r="F71" t="s">
        <v>530</v>
      </c>
      <c r="G71">
        <v>0</v>
      </c>
      <c r="H71">
        <v>0</v>
      </c>
    </row>
    <row r="72" spans="1:8" x14ac:dyDescent="0.25">
      <c r="A72">
        <v>5735</v>
      </c>
      <c r="B72">
        <v>5875</v>
      </c>
      <c r="C72">
        <v>80</v>
      </c>
      <c r="D72">
        <v>0</v>
      </c>
      <c r="E72">
        <v>14</v>
      </c>
      <c r="F72" t="s">
        <v>531</v>
      </c>
      <c r="G72">
        <v>0</v>
      </c>
      <c r="H72">
        <v>0</v>
      </c>
    </row>
    <row r="73" spans="1:8" x14ac:dyDescent="0.25">
      <c r="A73">
        <v>5735</v>
      </c>
      <c r="B73">
        <v>5875</v>
      </c>
      <c r="C73">
        <v>80</v>
      </c>
      <c r="D73" t="s">
        <v>81</v>
      </c>
      <c r="E73">
        <v>20</v>
      </c>
      <c r="F73" t="s">
        <v>531</v>
      </c>
      <c r="G73">
        <v>0</v>
      </c>
      <c r="H73">
        <v>0</v>
      </c>
    </row>
    <row r="74" spans="1:8" x14ac:dyDescent="0.25">
      <c r="A74">
        <v>5735</v>
      </c>
      <c r="B74">
        <v>5815</v>
      </c>
      <c r="C74">
        <v>80</v>
      </c>
      <c r="D74">
        <v>0</v>
      </c>
      <c r="E74">
        <v>30</v>
      </c>
      <c r="F74" t="s">
        <v>530</v>
      </c>
      <c r="G74">
        <v>0</v>
      </c>
      <c r="H74">
        <v>0</v>
      </c>
    </row>
    <row r="75" spans="1:8" x14ac:dyDescent="0.25">
      <c r="A75">
        <v>5735</v>
      </c>
      <c r="B75">
        <v>5815</v>
      </c>
      <c r="C75">
        <v>80</v>
      </c>
      <c r="D75" t="s">
        <v>81</v>
      </c>
      <c r="E75">
        <v>30</v>
      </c>
      <c r="F75" t="s">
        <v>531</v>
      </c>
      <c r="G75">
        <v>0</v>
      </c>
      <c r="H75">
        <v>0</v>
      </c>
    </row>
    <row r="76" spans="1:8" x14ac:dyDescent="0.25">
      <c r="A76">
        <v>5735</v>
      </c>
      <c r="B76">
        <v>5815</v>
      </c>
      <c r="C76">
        <v>80</v>
      </c>
      <c r="D76" t="s">
        <v>83</v>
      </c>
      <c r="E76">
        <v>23</v>
      </c>
      <c r="F76">
        <v>0</v>
      </c>
      <c r="G76">
        <v>0</v>
      </c>
      <c r="H76">
        <v>0</v>
      </c>
    </row>
    <row r="77" spans="1:8" x14ac:dyDescent="0.25">
      <c r="A77">
        <v>5735</v>
      </c>
      <c r="B77">
        <v>5815</v>
      </c>
      <c r="C77">
        <v>20</v>
      </c>
      <c r="D77">
        <v>0</v>
      </c>
      <c r="E77">
        <v>20</v>
      </c>
      <c r="F77" t="s">
        <v>531</v>
      </c>
      <c r="G77">
        <v>0</v>
      </c>
      <c r="H77">
        <v>0</v>
      </c>
    </row>
    <row r="78" spans="1:8" x14ac:dyDescent="0.25">
      <c r="A78">
        <v>5735</v>
      </c>
      <c r="B78">
        <v>5775</v>
      </c>
      <c r="C78">
        <v>40</v>
      </c>
      <c r="D78">
        <v>0</v>
      </c>
      <c r="E78">
        <v>23</v>
      </c>
      <c r="F78">
        <v>0</v>
      </c>
      <c r="G78">
        <v>0</v>
      </c>
      <c r="H78">
        <v>0</v>
      </c>
    </row>
    <row r="79" spans="1:8" x14ac:dyDescent="0.25">
      <c r="A79">
        <v>5835</v>
      </c>
      <c r="B79">
        <v>5855</v>
      </c>
      <c r="C79">
        <v>20</v>
      </c>
      <c r="D79">
        <v>0</v>
      </c>
      <c r="E79">
        <v>30</v>
      </c>
      <c r="F79">
        <v>0</v>
      </c>
      <c r="G79">
        <v>0</v>
      </c>
      <c r="H79">
        <v>0</v>
      </c>
    </row>
    <row r="80" spans="1:8" x14ac:dyDescent="0.25">
      <c r="A80">
        <v>5855</v>
      </c>
      <c r="B80">
        <v>5875</v>
      </c>
      <c r="C80">
        <v>20</v>
      </c>
      <c r="D80">
        <v>0</v>
      </c>
      <c r="E80">
        <v>30</v>
      </c>
      <c r="F80">
        <v>0</v>
      </c>
      <c r="G80">
        <v>0</v>
      </c>
      <c r="H80">
        <v>0</v>
      </c>
    </row>
    <row r="81" spans="1:8" x14ac:dyDescent="0.25">
      <c r="A81">
        <v>5850</v>
      </c>
      <c r="B81">
        <v>5925</v>
      </c>
      <c r="C81">
        <v>20</v>
      </c>
      <c r="D81">
        <v>0</v>
      </c>
      <c r="E81">
        <v>24</v>
      </c>
      <c r="F81">
        <v>0</v>
      </c>
      <c r="G81">
        <v>0</v>
      </c>
      <c r="H81">
        <v>0</v>
      </c>
    </row>
    <row r="82" spans="1:8" x14ac:dyDescent="0.25">
      <c r="A82">
        <v>5850</v>
      </c>
      <c r="B82">
        <v>5925</v>
      </c>
      <c r="C82">
        <v>20</v>
      </c>
      <c r="D82">
        <v>0</v>
      </c>
      <c r="E82">
        <v>30</v>
      </c>
      <c r="F82">
        <v>0</v>
      </c>
      <c r="G82">
        <v>0</v>
      </c>
      <c r="H82">
        <v>0</v>
      </c>
    </row>
    <row r="83" spans="1:8" x14ac:dyDescent="0.25">
      <c r="A83">
        <v>5490</v>
      </c>
      <c r="B83">
        <v>5730</v>
      </c>
      <c r="C83">
        <v>160</v>
      </c>
      <c r="D83" t="s">
        <v>538</v>
      </c>
      <c r="E83">
        <v>30</v>
      </c>
      <c r="F83" t="s">
        <v>531</v>
      </c>
      <c r="G83">
        <v>0</v>
      </c>
      <c r="H83">
        <v>0</v>
      </c>
    </row>
    <row r="84" spans="1:8" x14ac:dyDescent="0.25">
      <c r="A84">
        <v>5735</v>
      </c>
      <c r="B84">
        <v>5835</v>
      </c>
      <c r="C84">
        <v>80</v>
      </c>
      <c r="D84" t="s">
        <v>83</v>
      </c>
      <c r="E84">
        <v>14</v>
      </c>
      <c r="F84" t="s">
        <v>531</v>
      </c>
      <c r="G84">
        <v>0</v>
      </c>
      <c r="H84">
        <v>0</v>
      </c>
    </row>
    <row r="85" spans="1:8" x14ac:dyDescent="0.25">
      <c r="A85">
        <v>5835</v>
      </c>
      <c r="B85">
        <v>5855</v>
      </c>
      <c r="C85">
        <v>20</v>
      </c>
      <c r="D85" t="s">
        <v>83</v>
      </c>
      <c r="E85">
        <v>14</v>
      </c>
      <c r="F85" t="s">
        <v>531</v>
      </c>
      <c r="G85">
        <v>0</v>
      </c>
      <c r="H85">
        <v>0</v>
      </c>
    </row>
    <row r="86" spans="1:8" x14ac:dyDescent="0.25">
      <c r="A86">
        <v>5945</v>
      </c>
      <c r="B86">
        <v>7125</v>
      </c>
      <c r="C86">
        <v>320</v>
      </c>
      <c r="D86">
        <v>0</v>
      </c>
      <c r="E86">
        <v>24</v>
      </c>
      <c r="F86">
        <v>0</v>
      </c>
      <c r="G86">
        <v>0</v>
      </c>
      <c r="H86">
        <v>0</v>
      </c>
    </row>
    <row r="87" spans="1:8" x14ac:dyDescent="0.25">
      <c r="A87">
        <v>5945</v>
      </c>
      <c r="B87">
        <v>7125</v>
      </c>
      <c r="C87">
        <v>320</v>
      </c>
      <c r="D87">
        <v>0</v>
      </c>
      <c r="E87">
        <v>30</v>
      </c>
      <c r="F87">
        <v>0</v>
      </c>
      <c r="G87">
        <v>0</v>
      </c>
      <c r="H87">
        <v>0</v>
      </c>
    </row>
    <row r="88" spans="1:8" x14ac:dyDescent="0.25">
      <c r="A88">
        <v>5945</v>
      </c>
      <c r="B88">
        <v>7125</v>
      </c>
      <c r="C88">
        <v>320</v>
      </c>
      <c r="D88">
        <v>0</v>
      </c>
      <c r="E88">
        <v>20</v>
      </c>
      <c r="F88">
        <v>0</v>
      </c>
      <c r="G88">
        <v>0</v>
      </c>
      <c r="H88">
        <v>0</v>
      </c>
    </row>
    <row r="89" spans="1:8" x14ac:dyDescent="0.25">
      <c r="A89">
        <v>5735</v>
      </c>
      <c r="B89">
        <v>5895</v>
      </c>
      <c r="C89">
        <v>320</v>
      </c>
      <c r="D89">
        <v>0</v>
      </c>
      <c r="E89">
        <v>30</v>
      </c>
      <c r="F89" t="s">
        <v>530</v>
      </c>
      <c r="G89">
        <v>0</v>
      </c>
      <c r="H89">
        <v>0</v>
      </c>
    </row>
    <row r="90" spans="1:8" x14ac:dyDescent="0.25">
      <c r="A90">
        <v>5170</v>
      </c>
      <c r="B90">
        <v>5250</v>
      </c>
      <c r="C90">
        <v>80</v>
      </c>
      <c r="D90">
        <v>0</v>
      </c>
      <c r="E90">
        <v>24</v>
      </c>
      <c r="F90">
        <v>0</v>
      </c>
      <c r="G90">
        <v>0</v>
      </c>
      <c r="H90">
        <v>0</v>
      </c>
    </row>
    <row r="91" spans="1:8" x14ac:dyDescent="0.25">
      <c r="A91">
        <v>5945</v>
      </c>
      <c r="B91">
        <v>7125</v>
      </c>
      <c r="C91">
        <v>320</v>
      </c>
      <c r="D91" t="s">
        <v>80</v>
      </c>
      <c r="E91">
        <v>20</v>
      </c>
      <c r="F91">
        <v>0</v>
      </c>
      <c r="G91">
        <v>0</v>
      </c>
      <c r="H91">
        <v>0</v>
      </c>
    </row>
    <row r="92" spans="1:8" x14ac:dyDescent="0.25">
      <c r="A92">
        <v>5735</v>
      </c>
      <c r="B92">
        <v>5895</v>
      </c>
      <c r="C92">
        <v>160</v>
      </c>
      <c r="D92" t="s">
        <v>80</v>
      </c>
      <c r="E92">
        <v>20</v>
      </c>
      <c r="F92">
        <v>0</v>
      </c>
      <c r="G92">
        <v>0</v>
      </c>
      <c r="H92">
        <v>0</v>
      </c>
    </row>
    <row r="93" spans="1:8" x14ac:dyDescent="0.25">
      <c r="A93">
        <v>5735</v>
      </c>
      <c r="B93">
        <v>5875</v>
      </c>
      <c r="C93">
        <v>80</v>
      </c>
      <c r="D93" t="s">
        <v>83</v>
      </c>
      <c r="E93">
        <v>23</v>
      </c>
      <c r="F93" t="s">
        <v>530</v>
      </c>
      <c r="G93">
        <v>0</v>
      </c>
      <c r="H93">
        <v>0</v>
      </c>
    </row>
    <row r="94" spans="1:8" x14ac:dyDescent="0.25">
      <c r="A94">
        <v>5490</v>
      </c>
      <c r="B94">
        <v>5590</v>
      </c>
      <c r="C94">
        <v>80</v>
      </c>
      <c r="D94">
        <v>0</v>
      </c>
      <c r="E94">
        <v>24</v>
      </c>
      <c r="F94">
        <v>0</v>
      </c>
      <c r="G94">
        <v>0</v>
      </c>
      <c r="H94">
        <v>0</v>
      </c>
    </row>
    <row r="95" spans="1:8" x14ac:dyDescent="0.25">
      <c r="A95">
        <v>5650</v>
      </c>
      <c r="B95">
        <v>5730</v>
      </c>
      <c r="C95">
        <v>80</v>
      </c>
      <c r="D95">
        <v>0</v>
      </c>
      <c r="E95">
        <v>24</v>
      </c>
      <c r="F95">
        <v>0</v>
      </c>
      <c r="G95">
        <v>0</v>
      </c>
      <c r="H95">
        <v>0</v>
      </c>
    </row>
    <row r="96" spans="1:8" x14ac:dyDescent="0.25">
      <c r="A96">
        <v>5170</v>
      </c>
      <c r="B96">
        <v>5250</v>
      </c>
      <c r="C96">
        <v>80</v>
      </c>
      <c r="D96" t="s">
        <v>83</v>
      </c>
      <c r="E96">
        <v>17</v>
      </c>
      <c r="F96" t="s">
        <v>530</v>
      </c>
      <c r="G96">
        <v>0</v>
      </c>
      <c r="H96">
        <v>0</v>
      </c>
    </row>
    <row r="97" spans="1:8" x14ac:dyDescent="0.25">
      <c r="A97">
        <v>5250</v>
      </c>
      <c r="B97">
        <v>5330</v>
      </c>
      <c r="C97">
        <v>80</v>
      </c>
      <c r="D97" t="s">
        <v>538</v>
      </c>
      <c r="E97">
        <v>23</v>
      </c>
      <c r="F97" t="s">
        <v>531</v>
      </c>
      <c r="G97">
        <v>0</v>
      </c>
      <c r="H97">
        <v>0</v>
      </c>
    </row>
    <row r="98" spans="1:8" x14ac:dyDescent="0.25">
      <c r="A98">
        <v>5490</v>
      </c>
      <c r="B98">
        <v>5730</v>
      </c>
      <c r="C98">
        <v>160</v>
      </c>
      <c r="D98" t="s">
        <v>81</v>
      </c>
      <c r="E98">
        <v>30</v>
      </c>
      <c r="F98" t="s">
        <v>530</v>
      </c>
      <c r="G98">
        <v>0</v>
      </c>
      <c r="H98">
        <v>0</v>
      </c>
    </row>
    <row r="99" spans="1:8" x14ac:dyDescent="0.25">
      <c r="A99">
        <v>5250</v>
      </c>
      <c r="B99">
        <v>5330</v>
      </c>
      <c r="C99">
        <v>80</v>
      </c>
      <c r="D99" t="s">
        <v>81</v>
      </c>
      <c r="E99">
        <v>24</v>
      </c>
      <c r="F99" t="s">
        <v>530</v>
      </c>
      <c r="G99">
        <v>0</v>
      </c>
      <c r="H99">
        <v>0</v>
      </c>
    </row>
    <row r="100" spans="1:8" x14ac:dyDescent="0.25">
      <c r="A100">
        <v>5490</v>
      </c>
      <c r="B100">
        <v>5730</v>
      </c>
      <c r="C100">
        <v>160</v>
      </c>
      <c r="D100" t="s">
        <v>81</v>
      </c>
      <c r="E100">
        <v>24</v>
      </c>
      <c r="F100" t="s">
        <v>530</v>
      </c>
      <c r="G100">
        <v>0</v>
      </c>
      <c r="H100">
        <v>0</v>
      </c>
    </row>
    <row r="101" spans="1:8" ht="15" customHeight="1" x14ac:dyDescent="0.25">
      <c r="A101">
        <v>5170</v>
      </c>
      <c r="B101">
        <v>5330</v>
      </c>
      <c r="C101">
        <v>160</v>
      </c>
      <c r="D101" t="s">
        <v>81</v>
      </c>
      <c r="E101">
        <v>23</v>
      </c>
      <c r="F101" t="s">
        <v>531</v>
      </c>
      <c r="G101">
        <v>0</v>
      </c>
      <c r="H101">
        <v>0</v>
      </c>
    </row>
    <row r="102" spans="1:8" x14ac:dyDescent="0.25">
      <c r="A102">
        <v>5170</v>
      </c>
      <c r="B102">
        <v>5250</v>
      </c>
      <c r="C102">
        <v>80</v>
      </c>
      <c r="D102">
        <v>0</v>
      </c>
      <c r="E102">
        <v>23</v>
      </c>
      <c r="F102" t="s">
        <v>530</v>
      </c>
      <c r="G102">
        <v>0</v>
      </c>
      <c r="H102">
        <v>0</v>
      </c>
    </row>
    <row r="103" spans="1:8" x14ac:dyDescent="0.25">
      <c r="A103">
        <v>5735</v>
      </c>
      <c r="B103">
        <v>5835</v>
      </c>
      <c r="C103">
        <v>80</v>
      </c>
      <c r="D103">
        <v>0</v>
      </c>
      <c r="E103">
        <v>36</v>
      </c>
      <c r="F103" t="s">
        <v>530</v>
      </c>
      <c r="G103">
        <v>0</v>
      </c>
      <c r="H103">
        <v>0</v>
      </c>
    </row>
    <row r="104" spans="1:8" x14ac:dyDescent="0.25">
      <c r="A104">
        <v>5735</v>
      </c>
      <c r="B104">
        <v>5835</v>
      </c>
      <c r="C104">
        <v>80</v>
      </c>
      <c r="D104">
        <v>0</v>
      </c>
      <c r="E104">
        <v>30</v>
      </c>
      <c r="F104" t="s">
        <v>531</v>
      </c>
      <c r="G104">
        <v>0</v>
      </c>
      <c r="H104">
        <v>0</v>
      </c>
    </row>
    <row r="105" spans="1:8" x14ac:dyDescent="0.25">
      <c r="A105">
        <v>5250</v>
      </c>
      <c r="B105">
        <v>5330</v>
      </c>
      <c r="C105">
        <v>80</v>
      </c>
      <c r="D105" t="s">
        <v>81</v>
      </c>
      <c r="E105">
        <v>23</v>
      </c>
      <c r="F105" t="s">
        <v>530</v>
      </c>
      <c r="G105">
        <v>0</v>
      </c>
      <c r="H105">
        <v>0</v>
      </c>
    </row>
    <row r="106" spans="1:8" x14ac:dyDescent="0.25">
      <c r="A106">
        <v>5735</v>
      </c>
      <c r="B106">
        <v>5835</v>
      </c>
      <c r="C106">
        <v>80</v>
      </c>
      <c r="D106">
        <v>0</v>
      </c>
      <c r="E106">
        <v>33</v>
      </c>
      <c r="F106" t="s">
        <v>533</v>
      </c>
      <c r="G106">
        <v>0</v>
      </c>
      <c r="H106">
        <v>0</v>
      </c>
    </row>
    <row r="107" spans="1:8" x14ac:dyDescent="0.25">
      <c r="A107">
        <v>5170</v>
      </c>
      <c r="B107">
        <v>5250</v>
      </c>
      <c r="C107">
        <v>80</v>
      </c>
      <c r="D107" t="s">
        <v>83</v>
      </c>
      <c r="E107">
        <v>23</v>
      </c>
      <c r="F107" t="s">
        <v>532</v>
      </c>
      <c r="G107">
        <v>0</v>
      </c>
      <c r="H107">
        <v>0</v>
      </c>
    </row>
    <row r="108" spans="1:8" x14ac:dyDescent="0.25">
      <c r="A108">
        <v>5250</v>
      </c>
      <c r="B108">
        <v>5330</v>
      </c>
      <c r="C108">
        <v>80</v>
      </c>
      <c r="D108" t="s">
        <v>538</v>
      </c>
      <c r="E108">
        <v>23</v>
      </c>
      <c r="F108" t="s">
        <v>532</v>
      </c>
      <c r="G108">
        <v>0</v>
      </c>
      <c r="H108">
        <v>0</v>
      </c>
    </row>
    <row r="109" spans="1:8" x14ac:dyDescent="0.25">
      <c r="A109">
        <v>5170</v>
      </c>
      <c r="B109">
        <v>5250</v>
      </c>
      <c r="C109">
        <v>80</v>
      </c>
      <c r="D109">
        <v>0</v>
      </c>
      <c r="E109">
        <v>23</v>
      </c>
      <c r="F109" t="s">
        <v>532</v>
      </c>
      <c r="G109">
        <v>0</v>
      </c>
      <c r="H109">
        <v>0</v>
      </c>
    </row>
    <row r="110" spans="1:8" x14ac:dyDescent="0.25">
      <c r="A110">
        <v>5250</v>
      </c>
      <c r="B110">
        <v>5330</v>
      </c>
      <c r="C110">
        <v>80</v>
      </c>
      <c r="D110" t="s">
        <v>81</v>
      </c>
      <c r="E110">
        <v>23</v>
      </c>
      <c r="F110" t="s">
        <v>531</v>
      </c>
      <c r="G110">
        <v>0</v>
      </c>
      <c r="H110">
        <v>0</v>
      </c>
    </row>
    <row r="111" spans="1:8" x14ac:dyDescent="0.25">
      <c r="A111">
        <v>5735</v>
      </c>
      <c r="B111">
        <v>5835</v>
      </c>
      <c r="C111">
        <v>80</v>
      </c>
      <c r="D111">
        <v>0</v>
      </c>
      <c r="E111">
        <v>24</v>
      </c>
      <c r="F111" t="s">
        <v>531</v>
      </c>
      <c r="G111">
        <v>0</v>
      </c>
      <c r="H111">
        <v>0</v>
      </c>
    </row>
    <row r="112" spans="1:8" x14ac:dyDescent="0.25">
      <c r="A112">
        <v>5735</v>
      </c>
      <c r="B112">
        <v>5855</v>
      </c>
      <c r="C112">
        <v>80</v>
      </c>
      <c r="D112" t="s">
        <v>81</v>
      </c>
      <c r="E112">
        <v>20</v>
      </c>
      <c r="F112" t="s">
        <v>531</v>
      </c>
      <c r="G112">
        <v>0</v>
      </c>
      <c r="H112">
        <v>0</v>
      </c>
    </row>
    <row r="113" spans="1:8" x14ac:dyDescent="0.25">
      <c r="A113">
        <v>5855</v>
      </c>
      <c r="B113">
        <v>5875</v>
      </c>
      <c r="C113">
        <v>20</v>
      </c>
      <c r="D113">
        <v>0</v>
      </c>
      <c r="E113">
        <v>20</v>
      </c>
      <c r="F113" t="s">
        <v>531</v>
      </c>
      <c r="G113">
        <v>0</v>
      </c>
      <c r="H113">
        <v>0</v>
      </c>
    </row>
    <row r="114" spans="1:8" x14ac:dyDescent="0.25">
      <c r="A114">
        <v>5170</v>
      </c>
      <c r="B114">
        <v>5330</v>
      </c>
      <c r="C114">
        <v>160</v>
      </c>
      <c r="D114" t="s">
        <v>538</v>
      </c>
      <c r="E114">
        <v>23</v>
      </c>
      <c r="F114" t="s">
        <v>531</v>
      </c>
      <c r="G114">
        <v>0</v>
      </c>
      <c r="H114">
        <v>0</v>
      </c>
    </row>
    <row r="115" spans="1:8" x14ac:dyDescent="0.25">
      <c r="A115">
        <v>5490</v>
      </c>
      <c r="B115">
        <v>5730</v>
      </c>
      <c r="C115">
        <v>160</v>
      </c>
      <c r="D115" t="s">
        <v>81</v>
      </c>
      <c r="E115">
        <v>23</v>
      </c>
      <c r="F115" t="s">
        <v>531</v>
      </c>
      <c r="G115">
        <v>0</v>
      </c>
      <c r="H115">
        <v>0</v>
      </c>
    </row>
    <row r="116" spans="1:8" x14ac:dyDescent="0.25">
      <c r="A116">
        <v>5735</v>
      </c>
      <c r="B116">
        <v>5875</v>
      </c>
      <c r="C116">
        <v>80</v>
      </c>
      <c r="D116">
        <v>0</v>
      </c>
      <c r="E116">
        <v>30</v>
      </c>
      <c r="F116" t="s">
        <v>531</v>
      </c>
      <c r="G116">
        <v>0</v>
      </c>
      <c r="H116">
        <v>0</v>
      </c>
    </row>
    <row r="117" spans="1:8" x14ac:dyDescent="0.25">
      <c r="A117">
        <v>5170</v>
      </c>
      <c r="B117">
        <v>5250</v>
      </c>
      <c r="C117">
        <v>80</v>
      </c>
      <c r="D117">
        <v>0</v>
      </c>
      <c r="E117">
        <v>16</v>
      </c>
      <c r="F117" t="s">
        <v>531</v>
      </c>
      <c r="G117">
        <v>0</v>
      </c>
      <c r="H117">
        <v>0</v>
      </c>
    </row>
    <row r="118" spans="1:8" x14ac:dyDescent="0.25">
      <c r="A118">
        <v>5250</v>
      </c>
      <c r="B118">
        <v>5330</v>
      </c>
      <c r="C118">
        <v>80</v>
      </c>
      <c r="D118" t="s">
        <v>83</v>
      </c>
      <c r="E118">
        <v>23</v>
      </c>
      <c r="F118" t="s">
        <v>531</v>
      </c>
      <c r="G118">
        <v>0</v>
      </c>
      <c r="H118">
        <v>0</v>
      </c>
    </row>
    <row r="119" spans="1:8" x14ac:dyDescent="0.25">
      <c r="A119">
        <v>5490</v>
      </c>
      <c r="B119">
        <v>5730</v>
      </c>
      <c r="C119">
        <v>160</v>
      </c>
      <c r="D119" t="s">
        <v>83</v>
      </c>
      <c r="E119">
        <v>30</v>
      </c>
      <c r="F119" t="s">
        <v>531</v>
      </c>
      <c r="G119">
        <v>0</v>
      </c>
      <c r="H119">
        <v>0</v>
      </c>
    </row>
    <row r="120" spans="1:8" x14ac:dyDescent="0.25">
      <c r="A120">
        <v>5735</v>
      </c>
      <c r="B120">
        <v>5875</v>
      </c>
      <c r="C120">
        <v>160</v>
      </c>
      <c r="D120" t="s">
        <v>83</v>
      </c>
      <c r="E120">
        <v>14</v>
      </c>
      <c r="F120" t="s">
        <v>531</v>
      </c>
      <c r="G120">
        <v>0</v>
      </c>
      <c r="H120">
        <v>0</v>
      </c>
    </row>
    <row r="121" spans="1:8" x14ac:dyDescent="0.25">
      <c r="A121">
        <v>5490</v>
      </c>
      <c r="B121">
        <v>5710</v>
      </c>
      <c r="C121">
        <v>160</v>
      </c>
      <c r="D121" t="s">
        <v>538</v>
      </c>
      <c r="E121">
        <v>30</v>
      </c>
      <c r="F121" t="s">
        <v>531</v>
      </c>
      <c r="G121">
        <v>0</v>
      </c>
      <c r="H121">
        <v>0</v>
      </c>
    </row>
    <row r="122" spans="1:8" x14ac:dyDescent="0.25">
      <c r="A122">
        <v>5170</v>
      </c>
      <c r="B122">
        <v>5250</v>
      </c>
      <c r="C122">
        <v>80</v>
      </c>
      <c r="D122">
        <v>0</v>
      </c>
      <c r="E122">
        <v>24</v>
      </c>
      <c r="F122" t="s">
        <v>530</v>
      </c>
      <c r="G122">
        <v>0</v>
      </c>
      <c r="H122">
        <v>0</v>
      </c>
    </row>
    <row r="123" spans="1:8" x14ac:dyDescent="0.25">
      <c r="A123">
        <v>5250</v>
      </c>
      <c r="B123">
        <v>5330</v>
      </c>
      <c r="C123">
        <v>80</v>
      </c>
      <c r="D123" t="s">
        <v>81</v>
      </c>
      <c r="E123">
        <v>24</v>
      </c>
      <c r="F123" t="s">
        <v>530</v>
      </c>
      <c r="G123">
        <v>0</v>
      </c>
      <c r="H123">
        <v>0</v>
      </c>
    </row>
    <row r="124" spans="1:8" x14ac:dyDescent="0.25">
      <c r="A124">
        <v>5490</v>
      </c>
      <c r="B124">
        <v>5730</v>
      </c>
      <c r="C124">
        <v>160</v>
      </c>
      <c r="D124" t="s">
        <v>81</v>
      </c>
      <c r="E124">
        <v>24</v>
      </c>
      <c r="F124" t="s">
        <v>530</v>
      </c>
      <c r="G124">
        <v>0</v>
      </c>
      <c r="H124">
        <v>0</v>
      </c>
    </row>
    <row r="125" spans="1:8" x14ac:dyDescent="0.25">
      <c r="A125">
        <v>5735</v>
      </c>
      <c r="B125">
        <v>5855</v>
      </c>
      <c r="C125">
        <v>80</v>
      </c>
      <c r="D125">
        <v>0</v>
      </c>
      <c r="E125">
        <v>30</v>
      </c>
      <c r="F125" t="s">
        <v>530</v>
      </c>
      <c r="G125">
        <v>0</v>
      </c>
      <c r="H125">
        <v>0</v>
      </c>
    </row>
    <row r="126" spans="1:8" x14ac:dyDescent="0.25">
      <c r="A126">
        <v>5855</v>
      </c>
      <c r="B126">
        <v>5925</v>
      </c>
      <c r="C126">
        <v>40</v>
      </c>
      <c r="D126" t="s">
        <v>83</v>
      </c>
      <c r="E126">
        <v>30</v>
      </c>
      <c r="F126" t="s">
        <v>530</v>
      </c>
      <c r="G126">
        <v>0</v>
      </c>
      <c r="H126">
        <v>0</v>
      </c>
    </row>
    <row r="127" spans="1:8" x14ac:dyDescent="0.25">
      <c r="A127">
        <v>5170</v>
      </c>
      <c r="B127">
        <v>5250</v>
      </c>
      <c r="C127">
        <v>80</v>
      </c>
      <c r="D127">
        <v>0</v>
      </c>
      <c r="E127">
        <v>23</v>
      </c>
      <c r="F127" t="s">
        <v>531</v>
      </c>
      <c r="G127">
        <v>0</v>
      </c>
      <c r="H127">
        <v>0</v>
      </c>
    </row>
    <row r="128" spans="1:8" x14ac:dyDescent="0.25">
      <c r="A128">
        <v>5855</v>
      </c>
      <c r="B128">
        <v>5875</v>
      </c>
      <c r="C128">
        <v>20</v>
      </c>
      <c r="D128">
        <v>0</v>
      </c>
      <c r="E128">
        <v>14</v>
      </c>
      <c r="F128" t="s">
        <v>531</v>
      </c>
      <c r="G128">
        <v>0</v>
      </c>
      <c r="H128">
        <v>0</v>
      </c>
    </row>
    <row r="129" spans="1:8" x14ac:dyDescent="0.25">
      <c r="A129">
        <v>5735</v>
      </c>
      <c r="B129">
        <v>5855</v>
      </c>
      <c r="C129">
        <v>80</v>
      </c>
      <c r="D129">
        <v>0</v>
      </c>
      <c r="E129">
        <v>14</v>
      </c>
      <c r="F129" t="s">
        <v>531</v>
      </c>
      <c r="G129">
        <v>0</v>
      </c>
      <c r="H129">
        <v>0</v>
      </c>
    </row>
    <row r="130" spans="1:8" x14ac:dyDescent="0.25">
      <c r="A130">
        <v>5170</v>
      </c>
      <c r="B130">
        <v>5250</v>
      </c>
      <c r="C130">
        <v>80</v>
      </c>
      <c r="D130" t="s">
        <v>83</v>
      </c>
      <c r="E130">
        <v>36</v>
      </c>
      <c r="F130" t="s">
        <v>530</v>
      </c>
      <c r="G130">
        <v>0</v>
      </c>
      <c r="H130">
        <v>0</v>
      </c>
    </row>
    <row r="131" spans="1:8" x14ac:dyDescent="0.25">
      <c r="A131">
        <v>5250</v>
      </c>
      <c r="B131">
        <v>5330</v>
      </c>
      <c r="C131">
        <v>80</v>
      </c>
      <c r="D131" t="s">
        <v>538</v>
      </c>
      <c r="E131">
        <v>30</v>
      </c>
      <c r="F131" t="s">
        <v>530</v>
      </c>
      <c r="G131">
        <v>0</v>
      </c>
      <c r="H131">
        <v>0</v>
      </c>
    </row>
    <row r="132" spans="1:8" x14ac:dyDescent="0.25">
      <c r="A132">
        <v>5170</v>
      </c>
      <c r="B132">
        <v>5250</v>
      </c>
      <c r="C132">
        <v>80</v>
      </c>
      <c r="D132" t="s">
        <v>83</v>
      </c>
      <c r="E132">
        <v>23</v>
      </c>
      <c r="F132" s="2" t="s">
        <v>862</v>
      </c>
      <c r="G132">
        <v>0</v>
      </c>
      <c r="H132">
        <v>0</v>
      </c>
    </row>
    <row r="133" spans="1:8" x14ac:dyDescent="0.25">
      <c r="A133">
        <v>5250</v>
      </c>
      <c r="B133">
        <v>5330</v>
      </c>
      <c r="C133">
        <v>80</v>
      </c>
      <c r="D133" t="s">
        <v>538</v>
      </c>
      <c r="E133">
        <v>23</v>
      </c>
      <c r="F133" s="2" t="s">
        <v>862</v>
      </c>
      <c r="G133">
        <v>0</v>
      </c>
      <c r="H133">
        <v>0</v>
      </c>
    </row>
    <row r="134" spans="1:8" x14ac:dyDescent="0.25">
      <c r="A134">
        <v>5735</v>
      </c>
      <c r="B134">
        <v>5835</v>
      </c>
      <c r="C134">
        <v>80</v>
      </c>
      <c r="D134">
        <v>0</v>
      </c>
      <c r="E134">
        <v>33</v>
      </c>
      <c r="F134" s="2" t="s">
        <v>862</v>
      </c>
      <c r="G134">
        <v>0</v>
      </c>
      <c r="H134">
        <v>0</v>
      </c>
    </row>
    <row r="135" spans="1:8" x14ac:dyDescent="0.25">
      <c r="A135">
        <v>5170</v>
      </c>
      <c r="B135">
        <v>5250</v>
      </c>
      <c r="C135">
        <v>80</v>
      </c>
      <c r="D135">
        <v>0</v>
      </c>
      <c r="E135">
        <v>23</v>
      </c>
      <c r="F135" t="s">
        <v>861</v>
      </c>
      <c r="G135">
        <v>0</v>
      </c>
      <c r="H135">
        <v>0</v>
      </c>
    </row>
    <row r="136" spans="1:8" x14ac:dyDescent="0.25">
      <c r="A136">
        <v>5250</v>
      </c>
      <c r="B136">
        <v>5330</v>
      </c>
      <c r="C136">
        <v>80</v>
      </c>
      <c r="D136" t="s">
        <v>81</v>
      </c>
      <c r="E136">
        <v>23</v>
      </c>
      <c r="F136" t="s">
        <v>861</v>
      </c>
      <c r="G136">
        <v>0</v>
      </c>
      <c r="H136">
        <v>0</v>
      </c>
    </row>
    <row r="137" spans="1:8" x14ac:dyDescent="0.25">
      <c r="A137">
        <v>5490</v>
      </c>
      <c r="B137">
        <v>5730</v>
      </c>
      <c r="C137">
        <v>160</v>
      </c>
      <c r="D137" t="s">
        <v>81</v>
      </c>
      <c r="E137">
        <v>23</v>
      </c>
      <c r="F137" t="s">
        <v>861</v>
      </c>
      <c r="G137">
        <v>0</v>
      </c>
      <c r="H137">
        <v>0</v>
      </c>
    </row>
    <row r="138" spans="1:8" x14ac:dyDescent="0.25">
      <c r="A138">
        <v>5735</v>
      </c>
      <c r="B138">
        <v>5835</v>
      </c>
      <c r="C138">
        <v>80</v>
      </c>
      <c r="D138">
        <v>0</v>
      </c>
      <c r="E138">
        <v>23</v>
      </c>
      <c r="F138" t="s">
        <v>861</v>
      </c>
      <c r="G138">
        <v>0</v>
      </c>
      <c r="H138">
        <v>0</v>
      </c>
    </row>
    <row r="139" spans="1:8" x14ac:dyDescent="0.25">
      <c r="A139">
        <v>5170</v>
      </c>
      <c r="B139">
        <v>5250</v>
      </c>
      <c r="C139">
        <v>80</v>
      </c>
      <c r="D139" t="s">
        <v>83</v>
      </c>
      <c r="E139">
        <v>23</v>
      </c>
      <c r="F139" t="s">
        <v>531</v>
      </c>
      <c r="G139">
        <v>0</v>
      </c>
      <c r="H139">
        <v>0</v>
      </c>
    </row>
    <row r="140" spans="1:8" x14ac:dyDescent="0.25">
      <c r="A140">
        <v>5250</v>
      </c>
      <c r="B140">
        <v>5330</v>
      </c>
      <c r="C140">
        <v>80</v>
      </c>
      <c r="D140" t="s">
        <v>538</v>
      </c>
      <c r="E140">
        <v>23</v>
      </c>
      <c r="F140" t="s">
        <v>531</v>
      </c>
      <c r="G140">
        <v>0</v>
      </c>
      <c r="H140">
        <v>0</v>
      </c>
    </row>
    <row r="141" spans="1:8" x14ac:dyDescent="0.25">
      <c r="A141">
        <v>5735</v>
      </c>
      <c r="B141">
        <v>5835</v>
      </c>
      <c r="C141">
        <v>80</v>
      </c>
      <c r="D141">
        <v>0</v>
      </c>
      <c r="E141">
        <v>27</v>
      </c>
      <c r="F141" t="s">
        <v>530</v>
      </c>
      <c r="G141">
        <v>0</v>
      </c>
      <c r="H141">
        <v>0</v>
      </c>
    </row>
    <row r="142" spans="1:8" x14ac:dyDescent="0.25">
      <c r="A142">
        <v>5170</v>
      </c>
      <c r="B142">
        <v>5250</v>
      </c>
      <c r="C142">
        <v>80</v>
      </c>
      <c r="D142" t="s">
        <v>83</v>
      </c>
      <c r="E142">
        <v>23</v>
      </c>
      <c r="F142" t="s">
        <v>532</v>
      </c>
      <c r="G142">
        <v>0</v>
      </c>
      <c r="H142">
        <v>0</v>
      </c>
    </row>
    <row r="143" spans="1:8" x14ac:dyDescent="0.25">
      <c r="A143">
        <v>5250</v>
      </c>
      <c r="B143">
        <v>5330</v>
      </c>
      <c r="C143">
        <v>80</v>
      </c>
      <c r="D143" t="s">
        <v>538</v>
      </c>
      <c r="E143">
        <v>23</v>
      </c>
      <c r="F143" t="s">
        <v>532</v>
      </c>
      <c r="G143">
        <v>0</v>
      </c>
      <c r="H143">
        <v>0</v>
      </c>
    </row>
    <row r="144" spans="1:8" x14ac:dyDescent="0.25">
      <c r="A144">
        <v>5490</v>
      </c>
      <c r="B144">
        <v>5730</v>
      </c>
      <c r="C144">
        <v>160</v>
      </c>
      <c r="D144" t="s">
        <v>81</v>
      </c>
      <c r="E144">
        <v>23</v>
      </c>
      <c r="F144" t="s">
        <v>532</v>
      </c>
      <c r="G144">
        <v>0</v>
      </c>
      <c r="H144">
        <v>0</v>
      </c>
    </row>
    <row r="145" spans="1:8" x14ac:dyDescent="0.25">
      <c r="A145">
        <v>5490</v>
      </c>
      <c r="B145">
        <v>5710</v>
      </c>
      <c r="C145">
        <v>160</v>
      </c>
      <c r="D145" t="s">
        <v>81</v>
      </c>
      <c r="E145">
        <v>23</v>
      </c>
      <c r="F145" t="s">
        <v>532</v>
      </c>
      <c r="G145">
        <v>0</v>
      </c>
      <c r="H145">
        <v>0</v>
      </c>
    </row>
    <row r="146" spans="1:8" x14ac:dyDescent="0.25">
      <c r="A146">
        <v>5170</v>
      </c>
      <c r="B146">
        <v>5250</v>
      </c>
      <c r="C146">
        <v>80</v>
      </c>
      <c r="D146">
        <v>0</v>
      </c>
      <c r="E146">
        <v>30</v>
      </c>
      <c r="F146" t="s">
        <v>530</v>
      </c>
      <c r="G146">
        <v>0</v>
      </c>
      <c r="H146">
        <v>0</v>
      </c>
    </row>
    <row r="147" spans="1:8" x14ac:dyDescent="0.25">
      <c r="A147">
        <v>5250</v>
      </c>
      <c r="B147">
        <v>5330</v>
      </c>
      <c r="C147">
        <v>80</v>
      </c>
      <c r="D147" t="s">
        <v>81</v>
      </c>
      <c r="E147">
        <v>30</v>
      </c>
      <c r="F147" t="s">
        <v>530</v>
      </c>
      <c r="G147">
        <v>0</v>
      </c>
      <c r="H147">
        <v>0</v>
      </c>
    </row>
    <row r="148" spans="1:8" x14ac:dyDescent="0.25">
      <c r="A148">
        <v>5850</v>
      </c>
      <c r="B148">
        <v>5875</v>
      </c>
      <c r="C148">
        <v>20</v>
      </c>
      <c r="D148">
        <v>0</v>
      </c>
      <c r="E148">
        <v>30</v>
      </c>
      <c r="F148">
        <v>0</v>
      </c>
      <c r="G148">
        <v>0</v>
      </c>
      <c r="H148">
        <v>0</v>
      </c>
    </row>
    <row r="149" spans="1:8" x14ac:dyDescent="0.25">
      <c r="A149">
        <v>5735</v>
      </c>
      <c r="B149">
        <v>5835</v>
      </c>
      <c r="C149">
        <v>80</v>
      </c>
      <c r="D149">
        <v>0</v>
      </c>
      <c r="E149">
        <v>20</v>
      </c>
      <c r="F149" t="s">
        <v>531</v>
      </c>
      <c r="G149">
        <v>0</v>
      </c>
      <c r="H149">
        <v>0</v>
      </c>
    </row>
    <row r="150" spans="1:8" x14ac:dyDescent="0.25">
      <c r="A150">
        <v>5170</v>
      </c>
      <c r="B150">
        <v>5250</v>
      </c>
      <c r="C150">
        <v>80</v>
      </c>
      <c r="D150" t="s">
        <v>83</v>
      </c>
      <c r="E150">
        <v>30</v>
      </c>
      <c r="F150" t="s">
        <v>531</v>
      </c>
      <c r="G150">
        <v>0</v>
      </c>
      <c r="H150">
        <v>0</v>
      </c>
    </row>
    <row r="151" spans="1:8" x14ac:dyDescent="0.25">
      <c r="A151" s="15">
        <v>5490</v>
      </c>
      <c r="B151" s="15">
        <v>5650</v>
      </c>
      <c r="C151" s="15">
        <v>160</v>
      </c>
      <c r="D151" s="15">
        <v>0</v>
      </c>
      <c r="E151" s="15">
        <v>30</v>
      </c>
      <c r="F151" s="15" t="s">
        <v>530</v>
      </c>
      <c r="G151" s="15">
        <v>0</v>
      </c>
      <c r="H151" s="15">
        <v>0</v>
      </c>
    </row>
    <row r="152" spans="1:8" x14ac:dyDescent="0.25">
      <c r="A152" s="15">
        <v>5170</v>
      </c>
      <c r="B152" s="15">
        <v>5250</v>
      </c>
      <c r="C152" s="15">
        <v>80</v>
      </c>
      <c r="D152" s="15">
        <v>0</v>
      </c>
      <c r="E152" s="15">
        <v>23</v>
      </c>
      <c r="F152" s="15" t="s">
        <v>531</v>
      </c>
      <c r="G152" s="15">
        <v>0</v>
      </c>
      <c r="H152" s="15">
        <v>0</v>
      </c>
    </row>
    <row r="153" spans="1:8" x14ac:dyDescent="0.25">
      <c r="A153" s="15">
        <v>5735</v>
      </c>
      <c r="B153" s="15">
        <v>5875</v>
      </c>
      <c r="C153" s="15">
        <v>80</v>
      </c>
      <c r="D153" s="15">
        <v>0</v>
      </c>
      <c r="E153" s="15">
        <v>36</v>
      </c>
      <c r="F153" s="15" t="s">
        <v>531</v>
      </c>
      <c r="G153" s="15">
        <v>0</v>
      </c>
      <c r="H153" s="15">
        <v>0</v>
      </c>
    </row>
    <row r="154" spans="1:8" x14ac:dyDescent="0.25">
      <c r="A154" s="15">
        <v>5850</v>
      </c>
      <c r="B154" s="15">
        <v>5925</v>
      </c>
      <c r="C154" s="15">
        <v>20</v>
      </c>
      <c r="D154" s="15">
        <v>0</v>
      </c>
      <c r="E154" s="15">
        <v>36</v>
      </c>
      <c r="F154" s="15" t="s">
        <v>531</v>
      </c>
      <c r="G154" s="15">
        <v>0</v>
      </c>
      <c r="H154" s="15">
        <v>0</v>
      </c>
    </row>
    <row r="155" spans="1:8" x14ac:dyDescent="0.25">
      <c r="A155" s="15">
        <v>5490</v>
      </c>
      <c r="B155" s="15">
        <v>5710</v>
      </c>
      <c r="C155" s="15">
        <v>160</v>
      </c>
      <c r="D155" s="15" t="s">
        <v>81</v>
      </c>
      <c r="E155" s="15">
        <v>23</v>
      </c>
      <c r="F155" s="15" t="s">
        <v>531</v>
      </c>
      <c r="G155" s="15">
        <v>0</v>
      </c>
      <c r="H155" s="15">
        <v>0</v>
      </c>
    </row>
    <row r="156" spans="1:8" x14ac:dyDescent="0.25">
      <c r="A156" s="15">
        <v>5835</v>
      </c>
      <c r="B156" s="15">
        <v>5925</v>
      </c>
      <c r="C156" s="15">
        <v>40</v>
      </c>
      <c r="D156" s="15" t="s">
        <v>83</v>
      </c>
      <c r="E156" s="15">
        <v>30</v>
      </c>
      <c r="F156" s="15" t="s">
        <v>530</v>
      </c>
      <c r="G156" s="15">
        <v>0</v>
      </c>
      <c r="H156" s="15">
        <v>0</v>
      </c>
    </row>
  </sheetData>
  <autoFilter ref="A1:H156" xr:uid="{00000000-0001-0000-0D00-000000000000}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9"/>
  <sheetViews>
    <sheetView showFormulas="1" topLeftCell="F1" zoomScaleNormal="100" workbookViewId="0">
      <pane ySplit="1" topLeftCell="A52" activePane="bottomLeft" state="frozen"/>
      <selection pane="bottomLeft" activeCell="I73" sqref="I73"/>
    </sheetView>
  </sheetViews>
  <sheetFormatPr defaultRowHeight="15" x14ac:dyDescent="0.25"/>
  <cols>
    <col min="1" max="1" width="15.7109375" customWidth="1"/>
    <col min="2" max="2" width="17.5703125" customWidth="1"/>
    <col min="3" max="3" width="11" customWidth="1"/>
    <col min="4" max="4" width="15.85546875" customWidth="1"/>
    <col min="5" max="5" width="17.42578125" customWidth="1"/>
    <col min="6" max="6" width="14.28515625" customWidth="1"/>
    <col min="7" max="7" width="19.42578125" customWidth="1"/>
    <col min="8" max="8" width="20.42578125" customWidth="1"/>
    <col min="9" max="9" width="18.42578125" customWidth="1"/>
    <col min="10" max="10" width="19.42578125" customWidth="1"/>
    <col min="11" max="11" width="20.5703125" customWidth="1"/>
    <col min="12" max="12" width="19.28515625" customWidth="1"/>
    <col min="13" max="13" width="19.85546875" customWidth="1"/>
    <col min="14" max="14" width="19" customWidth="1"/>
    <col min="15" max="15" width="19.140625" customWidth="1"/>
    <col min="16" max="16" width="18.85546875" customWidth="1"/>
  </cols>
  <sheetData>
    <row r="1" spans="1:16" s="1" customFormat="1" x14ac:dyDescent="0.25">
      <c r="A1" s="1" t="s">
        <v>515</v>
      </c>
      <c r="B1" s="1" t="s">
        <v>516</v>
      </c>
      <c r="C1" s="1" t="s">
        <v>517</v>
      </c>
      <c r="D1" s="1" t="s">
        <v>518</v>
      </c>
      <c r="E1" s="1" t="s">
        <v>519</v>
      </c>
      <c r="F1" s="1" t="s">
        <v>513</v>
      </c>
      <c r="G1" s="1" t="s">
        <v>520</v>
      </c>
      <c r="H1" s="1" t="s">
        <v>521</v>
      </c>
      <c r="I1" s="1" t="s">
        <v>522</v>
      </c>
      <c r="J1" s="1" t="s">
        <v>523</v>
      </c>
      <c r="K1" s="1" t="s">
        <v>524</v>
      </c>
      <c r="L1" s="1" t="s">
        <v>525</v>
      </c>
      <c r="M1" s="1" t="s">
        <v>526</v>
      </c>
      <c r="N1" s="1" t="s">
        <v>527</v>
      </c>
      <c r="O1" s="1" t="s">
        <v>528</v>
      </c>
      <c r="P1" s="1" t="s">
        <v>529</v>
      </c>
    </row>
    <row r="2" spans="1:1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16" x14ac:dyDescent="0.25">
      <c r="A3" t="s">
        <v>530</v>
      </c>
      <c r="B3" t="s">
        <v>97</v>
      </c>
      <c r="C3">
        <v>2</v>
      </c>
      <c r="D3">
        <v>6</v>
      </c>
      <c r="E3">
        <v>3</v>
      </c>
      <c r="F3">
        <v>0</v>
      </c>
      <c r="G3" t="s">
        <v>52</v>
      </c>
      <c r="H3" t="s">
        <v>59</v>
      </c>
      <c r="I3" t="s">
        <v>69</v>
      </c>
    </row>
    <row r="4" spans="1:16" x14ac:dyDescent="0.25">
      <c r="A4" t="s">
        <v>530</v>
      </c>
      <c r="B4" t="s">
        <v>97</v>
      </c>
      <c r="C4">
        <v>2</v>
      </c>
      <c r="D4">
        <v>6</v>
      </c>
      <c r="E4">
        <v>3</v>
      </c>
      <c r="F4">
        <v>0</v>
      </c>
      <c r="G4" t="s">
        <v>1099</v>
      </c>
      <c r="H4" t="s">
        <v>1102</v>
      </c>
      <c r="I4" t="s">
        <v>69</v>
      </c>
    </row>
    <row r="5" spans="1:16" x14ac:dyDescent="0.25">
      <c r="A5" t="s">
        <v>530</v>
      </c>
      <c r="B5" t="s">
        <v>97</v>
      </c>
      <c r="C5">
        <v>2</v>
      </c>
      <c r="D5">
        <v>6</v>
      </c>
      <c r="E5">
        <v>5</v>
      </c>
      <c r="F5">
        <v>0</v>
      </c>
      <c r="G5" t="s">
        <v>990</v>
      </c>
      <c r="H5" t="s">
        <v>65</v>
      </c>
      <c r="I5" t="s">
        <v>1070</v>
      </c>
      <c r="J5" t="s">
        <v>1159</v>
      </c>
      <c r="K5" t="s">
        <v>1160</v>
      </c>
    </row>
    <row r="6" spans="1:16" x14ac:dyDescent="0.25">
      <c r="A6" t="s">
        <v>530</v>
      </c>
      <c r="B6" t="s">
        <v>97</v>
      </c>
      <c r="C6">
        <v>2</v>
      </c>
      <c r="D6">
        <v>6</v>
      </c>
      <c r="E6">
        <v>1</v>
      </c>
      <c r="F6">
        <v>0</v>
      </c>
      <c r="G6" t="s">
        <v>50</v>
      </c>
    </row>
    <row r="7" spans="1:16" x14ac:dyDescent="0.25">
      <c r="A7" t="s">
        <v>530</v>
      </c>
      <c r="B7" t="s">
        <v>96</v>
      </c>
      <c r="C7">
        <v>2</v>
      </c>
      <c r="D7">
        <v>6</v>
      </c>
      <c r="E7">
        <v>2</v>
      </c>
      <c r="F7">
        <v>0</v>
      </c>
      <c r="G7" t="s">
        <v>55</v>
      </c>
      <c r="H7" t="s">
        <v>69</v>
      </c>
    </row>
    <row r="8" spans="1:16" x14ac:dyDescent="0.25">
      <c r="A8" t="s">
        <v>530</v>
      </c>
      <c r="B8" t="s">
        <v>97</v>
      </c>
      <c r="C8">
        <v>2</v>
      </c>
      <c r="D8">
        <v>6</v>
      </c>
      <c r="E8" s="15">
        <v>6</v>
      </c>
      <c r="F8">
        <v>0</v>
      </c>
      <c r="G8" t="s">
        <v>56</v>
      </c>
      <c r="H8" t="s">
        <v>65</v>
      </c>
      <c r="I8" t="s">
        <v>1071</v>
      </c>
      <c r="J8" t="s">
        <v>66</v>
      </c>
      <c r="K8" t="s">
        <v>69</v>
      </c>
      <c r="L8" s="15" t="s">
        <v>1319</v>
      </c>
    </row>
    <row r="9" spans="1:16" x14ac:dyDescent="0.25">
      <c r="A9" t="s">
        <v>530</v>
      </c>
      <c r="B9" t="s">
        <v>97</v>
      </c>
      <c r="C9">
        <v>2</v>
      </c>
      <c r="D9">
        <v>6</v>
      </c>
      <c r="E9">
        <v>4</v>
      </c>
      <c r="F9">
        <v>0</v>
      </c>
      <c r="G9" t="s">
        <v>55</v>
      </c>
      <c r="H9" t="s">
        <v>65</v>
      </c>
      <c r="I9" t="s">
        <v>1070</v>
      </c>
      <c r="J9" t="s">
        <v>972</v>
      </c>
    </row>
    <row r="10" spans="1:16" x14ac:dyDescent="0.25">
      <c r="A10" t="s">
        <v>530</v>
      </c>
      <c r="B10" t="s">
        <v>97</v>
      </c>
      <c r="C10">
        <v>2</v>
      </c>
      <c r="D10">
        <v>0</v>
      </c>
      <c r="E10">
        <v>5</v>
      </c>
      <c r="F10">
        <v>0</v>
      </c>
      <c r="G10" t="s">
        <v>55</v>
      </c>
      <c r="H10" t="s">
        <v>65</v>
      </c>
      <c r="I10" t="s">
        <v>1070</v>
      </c>
      <c r="J10" t="s">
        <v>69</v>
      </c>
      <c r="K10" t="s">
        <v>596</v>
      </c>
    </row>
    <row r="11" spans="1:16" x14ac:dyDescent="0.25">
      <c r="A11" t="s">
        <v>530</v>
      </c>
      <c r="B11" t="s">
        <v>97</v>
      </c>
      <c r="C11">
        <v>2</v>
      </c>
      <c r="D11">
        <v>6</v>
      </c>
      <c r="E11">
        <v>5</v>
      </c>
      <c r="F11">
        <v>0</v>
      </c>
      <c r="G11" t="s">
        <v>1231</v>
      </c>
      <c r="H11" t="s">
        <v>1232</v>
      </c>
      <c r="I11" t="s">
        <v>1072</v>
      </c>
      <c r="J11" t="s">
        <v>73</v>
      </c>
      <c r="K11" t="s">
        <v>1233</v>
      </c>
    </row>
    <row r="12" spans="1:16" x14ac:dyDescent="0.25">
      <c r="A12" t="s">
        <v>530</v>
      </c>
      <c r="B12" t="s">
        <v>96</v>
      </c>
      <c r="C12">
        <v>2</v>
      </c>
      <c r="D12">
        <v>0</v>
      </c>
      <c r="E12">
        <v>4</v>
      </c>
      <c r="F12">
        <v>0</v>
      </c>
      <c r="G12" t="s">
        <v>549</v>
      </c>
      <c r="H12" t="s">
        <v>550</v>
      </c>
      <c r="I12" t="s">
        <v>1073</v>
      </c>
      <c r="J12" t="s">
        <v>69</v>
      </c>
    </row>
    <row r="13" spans="1:16" x14ac:dyDescent="0.25">
      <c r="A13" t="s">
        <v>530</v>
      </c>
      <c r="B13" t="s">
        <v>96</v>
      </c>
      <c r="C13">
        <v>2</v>
      </c>
      <c r="D13">
        <v>0</v>
      </c>
      <c r="E13">
        <v>4</v>
      </c>
      <c r="F13">
        <v>0</v>
      </c>
      <c r="G13" t="s">
        <v>55</v>
      </c>
      <c r="H13" t="s">
        <v>550</v>
      </c>
      <c r="I13" t="s">
        <v>1073</v>
      </c>
      <c r="J13" t="s">
        <v>69</v>
      </c>
    </row>
    <row r="14" spans="1:16" x14ac:dyDescent="0.25">
      <c r="A14" t="s">
        <v>530</v>
      </c>
      <c r="B14" t="s">
        <v>97</v>
      </c>
      <c r="C14">
        <v>2</v>
      </c>
      <c r="D14">
        <v>0</v>
      </c>
      <c r="E14">
        <v>6</v>
      </c>
      <c r="F14">
        <v>0</v>
      </c>
      <c r="G14" t="s">
        <v>990</v>
      </c>
      <c r="H14" t="s">
        <v>65</v>
      </c>
      <c r="I14" t="s">
        <v>1070</v>
      </c>
      <c r="J14" t="s">
        <v>1159</v>
      </c>
      <c r="K14" t="s">
        <v>1160</v>
      </c>
      <c r="L14" t="s">
        <v>895</v>
      </c>
    </row>
    <row r="15" spans="1:16" x14ac:dyDescent="0.25">
      <c r="A15" t="s">
        <v>530</v>
      </c>
      <c r="B15" t="s">
        <v>97</v>
      </c>
      <c r="C15">
        <v>2</v>
      </c>
      <c r="D15">
        <v>0</v>
      </c>
      <c r="E15">
        <v>5</v>
      </c>
      <c r="F15">
        <v>0</v>
      </c>
      <c r="G15" t="s">
        <v>55</v>
      </c>
      <c r="H15" t="s">
        <v>65</v>
      </c>
      <c r="I15" t="s">
        <v>1070</v>
      </c>
      <c r="J15" t="s">
        <v>69</v>
      </c>
      <c r="K15" t="s">
        <v>896</v>
      </c>
    </row>
    <row r="16" spans="1:16" x14ac:dyDescent="0.25">
      <c r="A16" t="s">
        <v>531</v>
      </c>
      <c r="B16" t="s">
        <v>98</v>
      </c>
      <c r="C16">
        <v>2</v>
      </c>
      <c r="D16">
        <v>0</v>
      </c>
      <c r="E16">
        <v>3</v>
      </c>
      <c r="F16">
        <v>0</v>
      </c>
      <c r="G16" t="s">
        <v>558</v>
      </c>
      <c r="H16" t="s">
        <v>559</v>
      </c>
      <c r="I16" t="s">
        <v>1129</v>
      </c>
    </row>
    <row r="17" spans="1:11" x14ac:dyDescent="0.25">
      <c r="A17" t="s">
        <v>531</v>
      </c>
      <c r="B17" t="s">
        <v>98</v>
      </c>
      <c r="C17">
        <v>5</v>
      </c>
      <c r="D17">
        <v>0</v>
      </c>
      <c r="E17">
        <v>2</v>
      </c>
      <c r="F17">
        <v>0</v>
      </c>
      <c r="G17" t="s">
        <v>53</v>
      </c>
      <c r="H17" t="s">
        <v>59</v>
      </c>
    </row>
    <row r="18" spans="1:11" x14ac:dyDescent="0.25">
      <c r="A18" t="s">
        <v>531</v>
      </c>
      <c r="B18" t="s">
        <v>98</v>
      </c>
      <c r="C18">
        <v>2</v>
      </c>
      <c r="D18">
        <v>0</v>
      </c>
      <c r="E18">
        <v>2</v>
      </c>
      <c r="F18">
        <v>0</v>
      </c>
      <c r="G18" t="s">
        <v>57</v>
      </c>
      <c r="H18" t="s">
        <v>61</v>
      </c>
    </row>
    <row r="19" spans="1:11" x14ac:dyDescent="0.25">
      <c r="A19" t="s">
        <v>531</v>
      </c>
      <c r="B19" t="s">
        <v>96</v>
      </c>
      <c r="C19">
        <v>20</v>
      </c>
      <c r="D19">
        <v>0</v>
      </c>
      <c r="E19">
        <v>4</v>
      </c>
      <c r="F19">
        <v>0</v>
      </c>
      <c r="G19" t="s">
        <v>53</v>
      </c>
      <c r="H19" t="s">
        <v>63</v>
      </c>
      <c r="I19" t="s">
        <v>1074</v>
      </c>
      <c r="J19" t="s">
        <v>1101</v>
      </c>
    </row>
    <row r="20" spans="1:11" x14ac:dyDescent="0.25">
      <c r="A20" t="s">
        <v>531</v>
      </c>
      <c r="B20" t="s">
        <v>98</v>
      </c>
      <c r="C20">
        <v>20</v>
      </c>
      <c r="D20">
        <v>0</v>
      </c>
      <c r="E20">
        <v>4</v>
      </c>
      <c r="F20">
        <v>0</v>
      </c>
      <c r="G20" t="s">
        <v>53</v>
      </c>
      <c r="H20" t="s">
        <v>59</v>
      </c>
      <c r="I20" t="s">
        <v>1075</v>
      </c>
      <c r="J20" t="s">
        <v>1108</v>
      </c>
    </row>
    <row r="21" spans="1:11" x14ac:dyDescent="0.25">
      <c r="A21" t="s">
        <v>531</v>
      </c>
      <c r="B21" t="s">
        <v>98</v>
      </c>
      <c r="C21">
        <v>5</v>
      </c>
      <c r="D21">
        <v>0</v>
      </c>
      <c r="E21">
        <v>4</v>
      </c>
      <c r="F21">
        <v>0</v>
      </c>
      <c r="G21" t="s">
        <v>560</v>
      </c>
      <c r="H21" t="s">
        <v>790</v>
      </c>
      <c r="I21" t="s">
        <v>1076</v>
      </c>
      <c r="J21" t="s">
        <v>768</v>
      </c>
    </row>
    <row r="22" spans="1:11" x14ac:dyDescent="0.25">
      <c r="A22" t="s">
        <v>531</v>
      </c>
      <c r="B22" t="s">
        <v>98</v>
      </c>
      <c r="C22">
        <v>10</v>
      </c>
      <c r="D22">
        <v>0</v>
      </c>
      <c r="E22">
        <v>4</v>
      </c>
      <c r="F22">
        <v>0</v>
      </c>
      <c r="G22" t="s">
        <v>879</v>
      </c>
      <c r="H22" t="s">
        <v>880</v>
      </c>
      <c r="I22" t="s">
        <v>1077</v>
      </c>
      <c r="J22" t="s">
        <v>74</v>
      </c>
    </row>
    <row r="23" spans="1:11" x14ac:dyDescent="0.25">
      <c r="A23" t="s">
        <v>531</v>
      </c>
      <c r="B23" t="s">
        <v>98</v>
      </c>
      <c r="C23">
        <v>2</v>
      </c>
      <c r="D23">
        <v>0</v>
      </c>
      <c r="E23">
        <v>4</v>
      </c>
      <c r="F23">
        <v>0</v>
      </c>
      <c r="G23" t="s">
        <v>558</v>
      </c>
      <c r="H23" t="s">
        <v>559</v>
      </c>
      <c r="I23" t="s">
        <v>1078</v>
      </c>
      <c r="J23" t="s">
        <v>769</v>
      </c>
    </row>
    <row r="24" spans="1:11" x14ac:dyDescent="0.25">
      <c r="A24" t="s">
        <v>531</v>
      </c>
      <c r="B24" t="s">
        <v>98</v>
      </c>
      <c r="C24">
        <v>2</v>
      </c>
      <c r="D24">
        <v>0</v>
      </c>
      <c r="E24">
        <v>5</v>
      </c>
      <c r="F24">
        <v>0</v>
      </c>
      <c r="G24" t="s">
        <v>1161</v>
      </c>
      <c r="H24" t="s">
        <v>559</v>
      </c>
      <c r="I24" t="s">
        <v>1129</v>
      </c>
      <c r="J24" t="s">
        <v>1190</v>
      </c>
      <c r="K24" t="s">
        <v>1162</v>
      </c>
    </row>
    <row r="25" spans="1:11" x14ac:dyDescent="0.25">
      <c r="A25" t="s">
        <v>531</v>
      </c>
      <c r="B25" t="s">
        <v>98</v>
      </c>
      <c r="C25">
        <v>2</v>
      </c>
      <c r="D25">
        <v>0</v>
      </c>
      <c r="E25">
        <v>5</v>
      </c>
      <c r="F25">
        <v>0</v>
      </c>
      <c r="G25" t="s">
        <v>53</v>
      </c>
      <c r="H25" t="s">
        <v>59</v>
      </c>
      <c r="I25" t="s">
        <v>1079</v>
      </c>
      <c r="J25" t="s">
        <v>1130</v>
      </c>
      <c r="K25" t="s">
        <v>1131</v>
      </c>
    </row>
    <row r="26" spans="1:11" x14ac:dyDescent="0.25">
      <c r="A26" t="s">
        <v>531</v>
      </c>
      <c r="B26" t="s">
        <v>98</v>
      </c>
      <c r="C26">
        <v>2</v>
      </c>
      <c r="D26">
        <v>0</v>
      </c>
      <c r="E26">
        <v>4</v>
      </c>
      <c r="F26">
        <v>0</v>
      </c>
      <c r="G26" t="s">
        <v>53</v>
      </c>
      <c r="H26" t="s">
        <v>59</v>
      </c>
      <c r="I26" t="s">
        <v>1078</v>
      </c>
      <c r="J26" t="s">
        <v>792</v>
      </c>
    </row>
    <row r="27" spans="1:11" x14ac:dyDescent="0.25">
      <c r="A27" t="s">
        <v>531</v>
      </c>
      <c r="B27" t="s">
        <v>96</v>
      </c>
      <c r="C27">
        <v>2</v>
      </c>
      <c r="D27">
        <v>0</v>
      </c>
      <c r="E27">
        <v>2</v>
      </c>
      <c r="F27">
        <v>0</v>
      </c>
      <c r="G27" t="s">
        <v>900</v>
      </c>
      <c r="H27" t="s">
        <v>583</v>
      </c>
    </row>
    <row r="28" spans="1:11" x14ac:dyDescent="0.25">
      <c r="A28" t="s">
        <v>531</v>
      </c>
      <c r="B28" t="s">
        <v>96</v>
      </c>
      <c r="C28">
        <v>2</v>
      </c>
      <c r="D28">
        <v>0</v>
      </c>
      <c r="E28">
        <v>1</v>
      </c>
      <c r="F28">
        <v>0</v>
      </c>
      <c r="G28" t="s">
        <v>1101</v>
      </c>
    </row>
    <row r="29" spans="1:11" x14ac:dyDescent="0.25">
      <c r="A29" t="s">
        <v>531</v>
      </c>
      <c r="B29" t="s">
        <v>96</v>
      </c>
      <c r="C29">
        <v>2</v>
      </c>
      <c r="D29">
        <v>0</v>
      </c>
      <c r="E29">
        <v>1</v>
      </c>
      <c r="F29">
        <v>0</v>
      </c>
      <c r="G29" t="s">
        <v>871</v>
      </c>
    </row>
    <row r="30" spans="1:11" x14ac:dyDescent="0.25">
      <c r="A30" t="s">
        <v>531</v>
      </c>
      <c r="B30" t="s">
        <v>96</v>
      </c>
      <c r="C30">
        <v>2</v>
      </c>
      <c r="D30">
        <v>0</v>
      </c>
      <c r="E30">
        <v>2</v>
      </c>
      <c r="F30">
        <v>0</v>
      </c>
      <c r="G30" t="s">
        <v>53</v>
      </c>
      <c r="H30" t="s">
        <v>1022</v>
      </c>
    </row>
    <row r="31" spans="1:11" x14ac:dyDescent="0.25">
      <c r="A31" t="s">
        <v>531</v>
      </c>
      <c r="B31" t="s">
        <v>98</v>
      </c>
      <c r="C31">
        <v>2</v>
      </c>
      <c r="D31">
        <v>0</v>
      </c>
      <c r="E31">
        <v>3</v>
      </c>
      <c r="F31">
        <v>0</v>
      </c>
      <c r="G31" t="s">
        <v>54</v>
      </c>
      <c r="H31" t="s">
        <v>60</v>
      </c>
      <c r="I31" t="s">
        <v>70</v>
      </c>
    </row>
    <row r="32" spans="1:11" x14ac:dyDescent="0.25">
      <c r="A32" t="s">
        <v>530</v>
      </c>
      <c r="B32" t="s">
        <v>98</v>
      </c>
      <c r="C32">
        <v>2</v>
      </c>
      <c r="D32">
        <v>0</v>
      </c>
      <c r="E32">
        <v>2</v>
      </c>
      <c r="F32">
        <v>0</v>
      </c>
      <c r="G32" t="s">
        <v>62</v>
      </c>
      <c r="H32" t="s">
        <v>69</v>
      </c>
    </row>
    <row r="33" spans="1:11" x14ac:dyDescent="0.25">
      <c r="A33" s="2" t="s">
        <v>861</v>
      </c>
      <c r="B33" t="s">
        <v>101</v>
      </c>
      <c r="C33">
        <v>2</v>
      </c>
      <c r="D33">
        <v>6</v>
      </c>
      <c r="E33">
        <v>4</v>
      </c>
      <c r="F33">
        <v>0</v>
      </c>
      <c r="G33" t="s">
        <v>1191</v>
      </c>
      <c r="H33" t="s">
        <v>1192</v>
      </c>
      <c r="I33" t="s">
        <v>1193</v>
      </c>
      <c r="J33" t="s">
        <v>1194</v>
      </c>
    </row>
    <row r="34" spans="1:11" x14ac:dyDescent="0.25">
      <c r="A34" t="s">
        <v>531</v>
      </c>
      <c r="B34" t="s">
        <v>97</v>
      </c>
      <c r="C34">
        <v>2</v>
      </c>
      <c r="D34">
        <v>6</v>
      </c>
      <c r="E34">
        <v>4</v>
      </c>
      <c r="F34">
        <v>0</v>
      </c>
      <c r="G34" t="s">
        <v>53</v>
      </c>
      <c r="H34" t="s">
        <v>62</v>
      </c>
      <c r="I34" t="s">
        <v>1129</v>
      </c>
      <c r="J34" t="s">
        <v>75</v>
      </c>
    </row>
    <row r="35" spans="1:11" x14ac:dyDescent="0.25">
      <c r="A35" t="s">
        <v>531</v>
      </c>
      <c r="B35" t="s">
        <v>97</v>
      </c>
      <c r="C35">
        <v>2</v>
      </c>
      <c r="D35">
        <v>0</v>
      </c>
      <c r="E35">
        <v>4</v>
      </c>
      <c r="F35">
        <v>0</v>
      </c>
      <c r="G35" t="s">
        <v>552</v>
      </c>
      <c r="H35" t="s">
        <v>553</v>
      </c>
      <c r="I35" t="s">
        <v>1081</v>
      </c>
      <c r="J35" t="s">
        <v>554</v>
      </c>
    </row>
    <row r="36" spans="1:11" x14ac:dyDescent="0.25">
      <c r="A36" t="s">
        <v>531</v>
      </c>
      <c r="B36" t="s">
        <v>98</v>
      </c>
      <c r="C36">
        <v>2</v>
      </c>
      <c r="D36">
        <v>0</v>
      </c>
      <c r="E36">
        <v>3</v>
      </c>
      <c r="F36">
        <v>0</v>
      </c>
      <c r="G36" t="s">
        <v>53</v>
      </c>
      <c r="H36" t="s">
        <v>1092</v>
      </c>
      <c r="I36" t="s">
        <v>76</v>
      </c>
    </row>
    <row r="37" spans="1:11" x14ac:dyDescent="0.25">
      <c r="A37" t="s">
        <v>531</v>
      </c>
      <c r="B37" t="s">
        <v>98</v>
      </c>
      <c r="C37">
        <v>2</v>
      </c>
      <c r="D37">
        <v>0</v>
      </c>
      <c r="E37">
        <v>3</v>
      </c>
      <c r="F37">
        <v>0</v>
      </c>
      <c r="G37" t="s">
        <v>53</v>
      </c>
      <c r="H37" t="s">
        <v>59</v>
      </c>
      <c r="I37" t="s">
        <v>1082</v>
      </c>
    </row>
    <row r="38" spans="1:11" x14ac:dyDescent="0.25">
      <c r="A38" t="s">
        <v>862</v>
      </c>
      <c r="B38" t="s">
        <v>100</v>
      </c>
      <c r="C38">
        <v>2</v>
      </c>
      <c r="D38">
        <v>0</v>
      </c>
      <c r="E38">
        <v>3</v>
      </c>
      <c r="F38">
        <v>0</v>
      </c>
      <c r="G38" t="s">
        <v>1178</v>
      </c>
      <c r="H38" t="s">
        <v>1179</v>
      </c>
      <c r="I38" t="s">
        <v>1177</v>
      </c>
    </row>
    <row r="39" spans="1:11" x14ac:dyDescent="0.25">
      <c r="A39" t="s">
        <v>530</v>
      </c>
      <c r="B39" t="s">
        <v>96</v>
      </c>
      <c r="C39">
        <v>2</v>
      </c>
      <c r="D39">
        <v>0</v>
      </c>
      <c r="E39">
        <v>3</v>
      </c>
      <c r="F39">
        <v>0</v>
      </c>
      <c r="G39" t="s">
        <v>558</v>
      </c>
      <c r="H39" t="s">
        <v>881</v>
      </c>
      <c r="I39" t="s">
        <v>71</v>
      </c>
    </row>
    <row r="40" spans="1:11" x14ac:dyDescent="0.25">
      <c r="A40" t="s">
        <v>530</v>
      </c>
      <c r="B40" t="s">
        <v>96</v>
      </c>
      <c r="C40">
        <v>2</v>
      </c>
      <c r="D40">
        <v>0</v>
      </c>
      <c r="E40">
        <v>5</v>
      </c>
      <c r="F40">
        <v>0</v>
      </c>
      <c r="G40" t="s">
        <v>52</v>
      </c>
      <c r="H40" t="s">
        <v>64</v>
      </c>
      <c r="I40" t="s">
        <v>1095</v>
      </c>
      <c r="J40" t="s">
        <v>1023</v>
      </c>
      <c r="K40" t="s">
        <v>69</v>
      </c>
    </row>
    <row r="41" spans="1:11" x14ac:dyDescent="0.25">
      <c r="A41" t="s">
        <v>530</v>
      </c>
      <c r="B41" t="s">
        <v>96</v>
      </c>
      <c r="C41">
        <v>2</v>
      </c>
      <c r="D41">
        <v>0</v>
      </c>
      <c r="E41">
        <v>5</v>
      </c>
      <c r="F41">
        <v>0</v>
      </c>
      <c r="G41" t="s">
        <v>1099</v>
      </c>
      <c r="H41" t="s">
        <v>555</v>
      </c>
      <c r="I41" t="s">
        <v>1084</v>
      </c>
      <c r="J41" t="s">
        <v>556</v>
      </c>
      <c r="K41" t="s">
        <v>551</v>
      </c>
    </row>
    <row r="42" spans="1:11" x14ac:dyDescent="0.25">
      <c r="A42" t="s">
        <v>530</v>
      </c>
      <c r="B42" t="s">
        <v>97</v>
      </c>
      <c r="C42">
        <v>2</v>
      </c>
      <c r="D42">
        <v>0</v>
      </c>
      <c r="E42">
        <v>4</v>
      </c>
      <c r="F42">
        <v>0</v>
      </c>
      <c r="G42" t="s">
        <v>55</v>
      </c>
      <c r="H42" t="s">
        <v>65</v>
      </c>
      <c r="I42" t="s">
        <v>1070</v>
      </c>
      <c r="J42" t="s">
        <v>557</v>
      </c>
    </row>
    <row r="43" spans="1:11" x14ac:dyDescent="0.25">
      <c r="A43" t="s">
        <v>531</v>
      </c>
      <c r="B43" t="s">
        <v>98</v>
      </c>
      <c r="C43">
        <v>2</v>
      </c>
      <c r="D43">
        <v>0</v>
      </c>
      <c r="E43">
        <v>4</v>
      </c>
      <c r="F43">
        <v>0</v>
      </c>
      <c r="G43" t="s">
        <v>558</v>
      </c>
      <c r="H43" t="s">
        <v>559</v>
      </c>
      <c r="I43" t="s">
        <v>1087</v>
      </c>
      <c r="J43" t="s">
        <v>71</v>
      </c>
    </row>
    <row r="44" spans="1:11" x14ac:dyDescent="0.25">
      <c r="A44" s="15" t="s">
        <v>531</v>
      </c>
      <c r="B44" s="15" t="s">
        <v>96</v>
      </c>
      <c r="C44" s="15">
        <v>2</v>
      </c>
      <c r="D44" s="15">
        <v>0</v>
      </c>
      <c r="E44" s="15">
        <v>4</v>
      </c>
      <c r="F44" s="15">
        <v>0</v>
      </c>
      <c r="G44" s="15" t="s">
        <v>1314</v>
      </c>
      <c r="H44" s="15" t="s">
        <v>561</v>
      </c>
      <c r="I44" s="15" t="s">
        <v>1320</v>
      </c>
      <c r="J44" s="15" t="s">
        <v>69</v>
      </c>
    </row>
    <row r="45" spans="1:11" x14ac:dyDescent="0.25">
      <c r="A45" t="s">
        <v>531</v>
      </c>
      <c r="B45" t="s">
        <v>98</v>
      </c>
      <c r="C45">
        <v>2</v>
      </c>
      <c r="D45">
        <v>0</v>
      </c>
      <c r="E45">
        <v>3</v>
      </c>
      <c r="F45">
        <v>0</v>
      </c>
      <c r="G45" s="9" t="s">
        <v>558</v>
      </c>
      <c r="H45" t="s">
        <v>559</v>
      </c>
      <c r="I45" t="s">
        <v>870</v>
      </c>
    </row>
    <row r="46" spans="1:11" x14ac:dyDescent="0.25">
      <c r="A46" t="s">
        <v>532</v>
      </c>
      <c r="B46" t="s">
        <v>96</v>
      </c>
      <c r="C46">
        <v>2</v>
      </c>
      <c r="D46">
        <v>0</v>
      </c>
      <c r="E46">
        <v>1</v>
      </c>
      <c r="F46">
        <v>0</v>
      </c>
      <c r="G46" t="s">
        <v>54</v>
      </c>
    </row>
    <row r="47" spans="1:11" x14ac:dyDescent="0.25">
      <c r="A47" t="s">
        <v>532</v>
      </c>
      <c r="B47" t="s">
        <v>99</v>
      </c>
      <c r="C47">
        <v>2</v>
      </c>
      <c r="D47">
        <v>0</v>
      </c>
      <c r="E47">
        <v>3</v>
      </c>
      <c r="F47">
        <v>0</v>
      </c>
      <c r="G47" t="s">
        <v>1209</v>
      </c>
      <c r="H47" t="s">
        <v>1218</v>
      </c>
      <c r="I47" t="s">
        <v>1211</v>
      </c>
    </row>
    <row r="48" spans="1:11" x14ac:dyDescent="0.25">
      <c r="A48" t="s">
        <v>532</v>
      </c>
      <c r="B48" t="s">
        <v>99</v>
      </c>
      <c r="C48">
        <v>2</v>
      </c>
      <c r="D48">
        <v>0</v>
      </c>
      <c r="E48">
        <v>3</v>
      </c>
      <c r="F48">
        <v>0</v>
      </c>
      <c r="G48" t="s">
        <v>558</v>
      </c>
      <c r="H48" t="s">
        <v>559</v>
      </c>
      <c r="I48" t="s">
        <v>1085</v>
      </c>
    </row>
    <row r="49" spans="1:11" x14ac:dyDescent="0.25">
      <c r="A49" t="s">
        <v>532</v>
      </c>
      <c r="B49" t="s">
        <v>99</v>
      </c>
      <c r="C49">
        <v>2</v>
      </c>
      <c r="D49">
        <v>0</v>
      </c>
      <c r="E49">
        <v>5</v>
      </c>
      <c r="F49">
        <v>0</v>
      </c>
      <c r="G49" t="s">
        <v>49</v>
      </c>
      <c r="H49" t="s">
        <v>53</v>
      </c>
      <c r="I49" t="s">
        <v>51</v>
      </c>
      <c r="J49" t="s">
        <v>59</v>
      </c>
      <c r="K49" t="s">
        <v>1085</v>
      </c>
    </row>
    <row r="50" spans="1:11" x14ac:dyDescent="0.25">
      <c r="A50" t="s">
        <v>532</v>
      </c>
      <c r="B50" t="s">
        <v>99</v>
      </c>
      <c r="C50">
        <v>2</v>
      </c>
      <c r="D50">
        <v>0</v>
      </c>
      <c r="E50">
        <v>1</v>
      </c>
      <c r="F50">
        <v>0</v>
      </c>
      <c r="G50" t="s">
        <v>1091</v>
      </c>
    </row>
    <row r="51" spans="1:11" x14ac:dyDescent="0.25">
      <c r="A51" t="s">
        <v>532</v>
      </c>
      <c r="B51" t="s">
        <v>885</v>
      </c>
      <c r="C51">
        <v>2</v>
      </c>
      <c r="D51">
        <v>0</v>
      </c>
      <c r="E51">
        <v>3</v>
      </c>
      <c r="F51">
        <v>0</v>
      </c>
      <c r="G51" t="s">
        <v>1209</v>
      </c>
      <c r="H51" t="s">
        <v>1218</v>
      </c>
      <c r="I51" t="s">
        <v>1210</v>
      </c>
    </row>
    <row r="52" spans="1:11" x14ac:dyDescent="0.25">
      <c r="A52" t="s">
        <v>533</v>
      </c>
      <c r="B52" t="s">
        <v>96</v>
      </c>
      <c r="C52">
        <v>2</v>
      </c>
      <c r="D52">
        <v>0</v>
      </c>
      <c r="E52">
        <v>2</v>
      </c>
      <c r="F52">
        <v>0</v>
      </c>
      <c r="G52" t="s">
        <v>58</v>
      </c>
      <c r="H52" t="s">
        <v>72</v>
      </c>
    </row>
    <row r="53" spans="1:11" x14ac:dyDescent="0.25">
      <c r="A53" t="s">
        <v>533</v>
      </c>
      <c r="B53" t="s">
        <v>96</v>
      </c>
      <c r="C53">
        <v>2</v>
      </c>
      <c r="D53">
        <v>0</v>
      </c>
      <c r="E53">
        <v>4</v>
      </c>
      <c r="F53">
        <v>0</v>
      </c>
      <c r="G53" t="s">
        <v>58</v>
      </c>
      <c r="H53" t="s">
        <v>1089</v>
      </c>
      <c r="I53" t="s">
        <v>991</v>
      </c>
      <c r="J53" t="s">
        <v>992</v>
      </c>
    </row>
    <row r="54" spans="1:11" x14ac:dyDescent="0.25">
      <c r="A54" t="s">
        <v>531</v>
      </c>
      <c r="B54" t="s">
        <v>98</v>
      </c>
      <c r="C54">
        <v>2</v>
      </c>
      <c r="D54">
        <v>0</v>
      </c>
      <c r="E54">
        <v>5</v>
      </c>
      <c r="F54">
        <v>0</v>
      </c>
      <c r="G54" t="s">
        <v>558</v>
      </c>
      <c r="H54" t="s">
        <v>559</v>
      </c>
      <c r="I54" t="s">
        <v>1155</v>
      </c>
      <c r="J54" t="s">
        <v>969</v>
      </c>
      <c r="K54" t="s">
        <v>970</v>
      </c>
    </row>
    <row r="55" spans="1:11" x14ac:dyDescent="0.25">
      <c r="A55" t="s">
        <v>530</v>
      </c>
      <c r="B55" t="s">
        <v>97</v>
      </c>
      <c r="C55">
        <v>2</v>
      </c>
      <c r="D55">
        <v>6</v>
      </c>
      <c r="E55">
        <v>4</v>
      </c>
      <c r="F55">
        <v>0</v>
      </c>
      <c r="G55" t="s">
        <v>1156</v>
      </c>
      <c r="H55" t="s">
        <v>1157</v>
      </c>
      <c r="I55" t="s">
        <v>1158</v>
      </c>
      <c r="J55" t="s">
        <v>69</v>
      </c>
    </row>
    <row r="56" spans="1:11" x14ac:dyDescent="0.25">
      <c r="A56" t="s">
        <v>530</v>
      </c>
      <c r="B56" t="s">
        <v>97</v>
      </c>
      <c r="C56">
        <v>2</v>
      </c>
      <c r="D56">
        <v>0</v>
      </c>
      <c r="E56">
        <v>4</v>
      </c>
      <c r="F56">
        <v>0</v>
      </c>
      <c r="G56" t="s">
        <v>1175</v>
      </c>
      <c r="H56" t="s">
        <v>1176</v>
      </c>
      <c r="I56" t="s">
        <v>1158</v>
      </c>
      <c r="J56" t="s">
        <v>69</v>
      </c>
    </row>
    <row r="57" spans="1:11" x14ac:dyDescent="0.25">
      <c r="A57" t="s">
        <v>531</v>
      </c>
      <c r="B57" t="s">
        <v>98</v>
      </c>
      <c r="C57">
        <v>2</v>
      </c>
      <c r="D57">
        <v>0</v>
      </c>
      <c r="E57">
        <v>5</v>
      </c>
      <c r="F57">
        <v>0</v>
      </c>
      <c r="G57" t="s">
        <v>558</v>
      </c>
      <c r="H57" t="s">
        <v>1058</v>
      </c>
      <c r="I57" t="s">
        <v>1083</v>
      </c>
      <c r="J57" t="s">
        <v>67</v>
      </c>
      <c r="K57" t="s">
        <v>1100</v>
      </c>
    </row>
    <row r="58" spans="1:11" x14ac:dyDescent="0.25">
      <c r="A58" t="s">
        <v>531</v>
      </c>
      <c r="B58" t="s">
        <v>98</v>
      </c>
      <c r="C58">
        <v>2</v>
      </c>
      <c r="D58">
        <v>0</v>
      </c>
      <c r="E58">
        <v>4</v>
      </c>
      <c r="F58">
        <v>0</v>
      </c>
      <c r="G58" t="s">
        <v>558</v>
      </c>
      <c r="H58" t="s">
        <v>1058</v>
      </c>
      <c r="I58" t="s">
        <v>1087</v>
      </c>
      <c r="J58" t="s">
        <v>1100</v>
      </c>
    </row>
    <row r="59" spans="1:11" x14ac:dyDescent="0.25">
      <c r="A59" t="s">
        <v>530</v>
      </c>
      <c r="B59" t="s">
        <v>98</v>
      </c>
      <c r="C59">
        <v>2</v>
      </c>
      <c r="D59">
        <v>0</v>
      </c>
      <c r="E59">
        <v>4</v>
      </c>
      <c r="F59">
        <v>0</v>
      </c>
      <c r="G59" t="s">
        <v>1024</v>
      </c>
      <c r="H59" t="s">
        <v>1059</v>
      </c>
      <c r="I59" t="s">
        <v>1088</v>
      </c>
      <c r="J59" t="s">
        <v>69</v>
      </c>
    </row>
    <row r="60" spans="1:11" x14ac:dyDescent="0.25">
      <c r="A60" t="s">
        <v>531</v>
      </c>
      <c r="B60" t="s">
        <v>98</v>
      </c>
      <c r="C60">
        <v>2</v>
      </c>
      <c r="D60">
        <v>0</v>
      </c>
      <c r="E60">
        <v>4</v>
      </c>
      <c r="F60">
        <v>0</v>
      </c>
      <c r="G60" t="s">
        <v>1161</v>
      </c>
      <c r="H60" t="s">
        <v>559</v>
      </c>
      <c r="I60" t="s">
        <v>1078</v>
      </c>
      <c r="J60" t="s">
        <v>583</v>
      </c>
    </row>
    <row r="61" spans="1:11" x14ac:dyDescent="0.25">
      <c r="A61" t="s">
        <v>531</v>
      </c>
      <c r="B61" t="s">
        <v>98</v>
      </c>
      <c r="C61">
        <v>2</v>
      </c>
      <c r="D61">
        <v>0</v>
      </c>
      <c r="E61">
        <v>4</v>
      </c>
      <c r="F61">
        <v>0</v>
      </c>
      <c r="G61" t="s">
        <v>1200</v>
      </c>
      <c r="H61" t="s">
        <v>1201</v>
      </c>
      <c r="I61" t="s">
        <v>1140</v>
      </c>
      <c r="J61" t="s">
        <v>1141</v>
      </c>
    </row>
    <row r="62" spans="1:11" x14ac:dyDescent="0.25">
      <c r="A62" t="s">
        <v>531</v>
      </c>
      <c r="B62" t="s">
        <v>98</v>
      </c>
      <c r="C62">
        <v>2</v>
      </c>
      <c r="D62">
        <v>0</v>
      </c>
      <c r="E62">
        <v>4</v>
      </c>
      <c r="F62">
        <v>0</v>
      </c>
      <c r="G62" t="s">
        <v>1147</v>
      </c>
      <c r="H62" t="s">
        <v>1148</v>
      </c>
      <c r="I62" t="s">
        <v>1149</v>
      </c>
      <c r="J62" t="s">
        <v>1150</v>
      </c>
    </row>
    <row r="63" spans="1:11" x14ac:dyDescent="0.25">
      <c r="A63" t="s">
        <v>531</v>
      </c>
      <c r="B63" t="s">
        <v>98</v>
      </c>
      <c r="C63">
        <v>2</v>
      </c>
      <c r="D63">
        <v>0</v>
      </c>
      <c r="E63">
        <v>5</v>
      </c>
      <c r="F63">
        <v>0</v>
      </c>
      <c r="G63" t="s">
        <v>558</v>
      </c>
      <c r="H63" t="s">
        <v>559</v>
      </c>
      <c r="I63" t="s">
        <v>1129</v>
      </c>
      <c r="J63" t="s">
        <v>1190</v>
      </c>
      <c r="K63" t="s">
        <v>1162</v>
      </c>
    </row>
    <row r="64" spans="1:11" x14ac:dyDescent="0.25">
      <c r="A64" t="s">
        <v>530</v>
      </c>
      <c r="B64" t="s">
        <v>97</v>
      </c>
      <c r="C64">
        <v>2</v>
      </c>
      <c r="D64">
        <v>6</v>
      </c>
      <c r="E64">
        <v>4</v>
      </c>
      <c r="F64">
        <v>0</v>
      </c>
      <c r="G64" t="s">
        <v>55</v>
      </c>
      <c r="H64" t="s">
        <v>62</v>
      </c>
      <c r="I64" t="s">
        <v>1087</v>
      </c>
      <c r="J64" t="s">
        <v>69</v>
      </c>
    </row>
    <row r="65" spans="1:10" x14ac:dyDescent="0.25">
      <c r="A65" t="s">
        <v>531</v>
      </c>
      <c r="B65" t="s">
        <v>98</v>
      </c>
      <c r="C65">
        <v>2</v>
      </c>
      <c r="D65">
        <v>0</v>
      </c>
      <c r="E65">
        <v>4</v>
      </c>
      <c r="F65">
        <v>0</v>
      </c>
      <c r="G65" t="s">
        <v>1099</v>
      </c>
      <c r="H65" t="s">
        <v>1102</v>
      </c>
      <c r="I65" t="s">
        <v>1158</v>
      </c>
      <c r="J65" t="s">
        <v>1202</v>
      </c>
    </row>
    <row r="66" spans="1:10" x14ac:dyDescent="0.25">
      <c r="A66" t="s">
        <v>531</v>
      </c>
      <c r="B66" t="s">
        <v>98</v>
      </c>
      <c r="C66">
        <v>2</v>
      </c>
      <c r="D66">
        <v>0</v>
      </c>
      <c r="E66">
        <v>4</v>
      </c>
      <c r="F66">
        <v>0</v>
      </c>
      <c r="G66" t="s">
        <v>558</v>
      </c>
      <c r="H66" t="s">
        <v>559</v>
      </c>
      <c r="I66" t="s">
        <v>1078</v>
      </c>
      <c r="J66" t="s">
        <v>1101</v>
      </c>
    </row>
    <row r="67" spans="1:10" x14ac:dyDescent="0.25">
      <c r="A67" t="s">
        <v>531</v>
      </c>
      <c r="B67" t="s">
        <v>98</v>
      </c>
      <c r="C67">
        <v>20</v>
      </c>
      <c r="D67">
        <v>0</v>
      </c>
      <c r="E67">
        <v>4</v>
      </c>
      <c r="F67">
        <v>0</v>
      </c>
      <c r="G67" t="s">
        <v>54</v>
      </c>
      <c r="H67" t="s">
        <v>60</v>
      </c>
      <c r="I67" t="s">
        <v>1090</v>
      </c>
      <c r="J67" t="s">
        <v>1241</v>
      </c>
    </row>
    <row r="68" spans="1:10" x14ac:dyDescent="0.25">
      <c r="A68" s="15" t="s">
        <v>531</v>
      </c>
      <c r="B68" s="15" t="s">
        <v>98</v>
      </c>
      <c r="C68" s="15">
        <v>20</v>
      </c>
      <c r="D68" s="15">
        <v>0</v>
      </c>
      <c r="E68" s="15">
        <v>4</v>
      </c>
      <c r="F68" s="15">
        <v>0</v>
      </c>
      <c r="G68" s="15" t="s">
        <v>1312</v>
      </c>
      <c r="H68" s="15" t="s">
        <v>59</v>
      </c>
      <c r="I68" s="15" t="s">
        <v>1129</v>
      </c>
      <c r="J68" s="15" t="s">
        <v>1328</v>
      </c>
    </row>
    <row r="69" spans="1:10" x14ac:dyDescent="0.25">
      <c r="A69" s="15" t="s">
        <v>531</v>
      </c>
      <c r="B69" s="15" t="s">
        <v>98</v>
      </c>
      <c r="C69" s="15">
        <v>20</v>
      </c>
      <c r="D69" s="15">
        <v>0</v>
      </c>
      <c r="E69" s="15">
        <v>4</v>
      </c>
      <c r="F69" s="15">
        <v>0</v>
      </c>
      <c r="G69" s="15" t="s">
        <v>1312</v>
      </c>
      <c r="H69" s="15" t="s">
        <v>59</v>
      </c>
      <c r="I69" s="15" t="s">
        <v>1326</v>
      </c>
      <c r="J69" s="15" t="s">
        <v>769</v>
      </c>
    </row>
  </sheetData>
  <phoneticPr fontId="7" type="noConversion"/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9BF9-965C-4054-9265-788DF5520157}">
  <dimension ref="A1:O37"/>
  <sheetViews>
    <sheetView topLeftCell="A22" workbookViewId="0">
      <selection activeCell="G44" sqref="G44"/>
    </sheetView>
  </sheetViews>
  <sheetFormatPr defaultRowHeight="15" x14ac:dyDescent="0.25"/>
  <cols>
    <col min="1" max="1" width="10.7109375" style="11" bestFit="1" customWidth="1"/>
    <col min="2" max="2" width="8.7109375" bestFit="1" customWidth="1"/>
    <col min="3" max="3" width="15.5703125" bestFit="1" customWidth="1"/>
    <col min="4" max="4" width="16.28515625" bestFit="1" customWidth="1"/>
    <col min="5" max="5" width="16.28515625" customWidth="1"/>
    <col min="6" max="7" width="18.42578125" bestFit="1" customWidth="1"/>
    <col min="8" max="8" width="20.85546875" customWidth="1"/>
    <col min="9" max="9" width="21" customWidth="1"/>
  </cols>
  <sheetData>
    <row r="1" spans="1:15" x14ac:dyDescent="0.25">
      <c r="A1" s="12" t="s">
        <v>515</v>
      </c>
      <c r="B1" s="1" t="s">
        <v>517</v>
      </c>
      <c r="C1" s="1" t="s">
        <v>518</v>
      </c>
      <c r="D1" s="1" t="s">
        <v>519</v>
      </c>
      <c r="E1" s="1" t="s">
        <v>511</v>
      </c>
      <c r="F1" s="1" t="s">
        <v>520</v>
      </c>
      <c r="G1" s="1" t="s">
        <v>521</v>
      </c>
      <c r="H1" s="1" t="s">
        <v>522</v>
      </c>
      <c r="I1" s="1" t="s">
        <v>523</v>
      </c>
      <c r="J1" s="1" t="s">
        <v>524</v>
      </c>
      <c r="K1" s="1" t="s">
        <v>525</v>
      </c>
      <c r="L1" s="1" t="s">
        <v>526</v>
      </c>
      <c r="M1" s="1" t="s">
        <v>527</v>
      </c>
      <c r="N1" s="1" t="s">
        <v>528</v>
      </c>
      <c r="O1" s="1" t="s">
        <v>529</v>
      </c>
    </row>
    <row r="2" spans="1:15" x14ac:dyDescent="0.25">
      <c r="A2" s="11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15" x14ac:dyDescent="0.25">
      <c r="A3" s="11" t="s">
        <v>530</v>
      </c>
      <c r="B3">
        <v>2</v>
      </c>
      <c r="C3">
        <v>0</v>
      </c>
      <c r="D3">
        <v>1</v>
      </c>
      <c r="E3">
        <v>320</v>
      </c>
      <c r="F3" t="s">
        <v>1025</v>
      </c>
    </row>
    <row r="4" spans="1:15" x14ac:dyDescent="0.25">
      <c r="A4" s="11" t="s">
        <v>530</v>
      </c>
      <c r="B4">
        <v>2</v>
      </c>
      <c r="C4">
        <v>0</v>
      </c>
      <c r="D4">
        <v>2</v>
      </c>
      <c r="E4">
        <v>320</v>
      </c>
      <c r="F4" t="s">
        <v>1026</v>
      </c>
      <c r="G4" t="s">
        <v>975</v>
      </c>
    </row>
    <row r="5" spans="1:15" x14ac:dyDescent="0.25">
      <c r="A5" s="11" t="s">
        <v>530</v>
      </c>
      <c r="B5">
        <v>2</v>
      </c>
      <c r="C5">
        <v>0</v>
      </c>
      <c r="D5">
        <v>1</v>
      </c>
      <c r="E5">
        <v>320</v>
      </c>
      <c r="F5" t="s">
        <v>1027</v>
      </c>
    </row>
    <row r="6" spans="1:15" ht="14.25" customHeight="1" x14ac:dyDescent="0.25">
      <c r="A6" s="11" t="s">
        <v>531</v>
      </c>
      <c r="B6">
        <v>2</v>
      </c>
      <c r="C6">
        <v>0</v>
      </c>
      <c r="D6">
        <v>1</v>
      </c>
      <c r="E6">
        <v>320</v>
      </c>
      <c r="F6" t="s">
        <v>944</v>
      </c>
    </row>
    <row r="7" spans="1:15" x14ac:dyDescent="0.25">
      <c r="A7" s="11" t="s">
        <v>531</v>
      </c>
      <c r="B7">
        <v>2</v>
      </c>
      <c r="C7">
        <v>0</v>
      </c>
      <c r="D7">
        <v>1</v>
      </c>
      <c r="E7">
        <v>320</v>
      </c>
      <c r="F7" t="s">
        <v>945</v>
      </c>
    </row>
    <row r="8" spans="1:15" x14ac:dyDescent="0.25">
      <c r="A8" s="13" t="s">
        <v>861</v>
      </c>
      <c r="B8">
        <v>2</v>
      </c>
      <c r="C8">
        <v>0</v>
      </c>
      <c r="D8">
        <v>1</v>
      </c>
      <c r="E8" s="15">
        <v>320</v>
      </c>
      <c r="F8" t="s">
        <v>1132</v>
      </c>
    </row>
    <row r="9" spans="1:15" x14ac:dyDescent="0.25">
      <c r="A9" s="13" t="s">
        <v>861</v>
      </c>
      <c r="B9">
        <v>2</v>
      </c>
      <c r="C9">
        <v>0</v>
      </c>
      <c r="D9">
        <v>1</v>
      </c>
      <c r="E9" s="15">
        <v>320</v>
      </c>
      <c r="F9" t="s">
        <v>1133</v>
      </c>
    </row>
    <row r="10" spans="1:15" x14ac:dyDescent="0.25">
      <c r="A10" s="13" t="s">
        <v>533</v>
      </c>
      <c r="B10">
        <v>2</v>
      </c>
      <c r="C10">
        <v>0</v>
      </c>
      <c r="D10">
        <v>2</v>
      </c>
      <c r="E10">
        <v>320</v>
      </c>
      <c r="F10" t="s">
        <v>1219</v>
      </c>
      <c r="G10" t="s">
        <v>1220</v>
      </c>
    </row>
    <row r="11" spans="1:15" x14ac:dyDescent="0.25">
      <c r="A11" s="13" t="s">
        <v>533</v>
      </c>
      <c r="B11">
        <v>2</v>
      </c>
      <c r="C11">
        <v>0</v>
      </c>
      <c r="D11">
        <v>2</v>
      </c>
      <c r="E11">
        <v>320</v>
      </c>
      <c r="F11" t="s">
        <v>1219</v>
      </c>
      <c r="G11" t="s">
        <v>1220</v>
      </c>
    </row>
    <row r="12" spans="1:15" x14ac:dyDescent="0.25">
      <c r="A12" s="11" t="s">
        <v>530</v>
      </c>
      <c r="B12">
        <v>2</v>
      </c>
      <c r="C12">
        <v>0</v>
      </c>
      <c r="D12">
        <v>1</v>
      </c>
      <c r="E12">
        <v>320</v>
      </c>
      <c r="F12" t="s">
        <v>992</v>
      </c>
    </row>
    <row r="13" spans="1:15" x14ac:dyDescent="0.25">
      <c r="A13" s="11" t="s">
        <v>530</v>
      </c>
      <c r="B13">
        <v>2</v>
      </c>
      <c r="C13">
        <v>0</v>
      </c>
      <c r="D13">
        <v>2</v>
      </c>
      <c r="E13">
        <v>320</v>
      </c>
      <c r="F13" t="s">
        <v>998</v>
      </c>
      <c r="G13" t="s">
        <v>999</v>
      </c>
    </row>
    <row r="14" spans="1:15" x14ac:dyDescent="0.25">
      <c r="A14" s="11" t="s">
        <v>530</v>
      </c>
      <c r="B14">
        <v>2</v>
      </c>
      <c r="C14">
        <v>0</v>
      </c>
      <c r="D14">
        <v>1</v>
      </c>
      <c r="E14">
        <v>320</v>
      </c>
      <c r="F14" t="s">
        <v>997</v>
      </c>
    </row>
    <row r="15" spans="1:15" x14ac:dyDescent="0.25">
      <c r="A15" s="13" t="s">
        <v>533</v>
      </c>
      <c r="B15">
        <v>2</v>
      </c>
      <c r="C15">
        <v>0</v>
      </c>
      <c r="D15">
        <v>1</v>
      </c>
      <c r="E15">
        <v>320</v>
      </c>
      <c r="F15" t="s">
        <v>1028</v>
      </c>
    </row>
    <row r="16" spans="1:15" x14ac:dyDescent="0.25">
      <c r="A16" s="11" t="s">
        <v>531</v>
      </c>
      <c r="B16">
        <v>2</v>
      </c>
      <c r="C16">
        <v>0</v>
      </c>
      <c r="D16">
        <v>1</v>
      </c>
      <c r="E16">
        <v>320</v>
      </c>
      <c r="F16" s="8" t="s">
        <v>1029</v>
      </c>
    </row>
    <row r="17" spans="1:8" x14ac:dyDescent="0.25">
      <c r="A17" s="11" t="s">
        <v>531</v>
      </c>
      <c r="B17">
        <v>2</v>
      </c>
      <c r="C17">
        <v>0</v>
      </c>
      <c r="D17">
        <v>1</v>
      </c>
      <c r="E17">
        <v>320</v>
      </c>
      <c r="F17" s="8" t="s">
        <v>1030</v>
      </c>
    </row>
    <row r="18" spans="1:8" x14ac:dyDescent="0.25">
      <c r="A18" s="13" t="s">
        <v>533</v>
      </c>
      <c r="B18">
        <v>2</v>
      </c>
      <c r="C18">
        <v>0</v>
      </c>
      <c r="D18">
        <v>1</v>
      </c>
      <c r="E18">
        <v>320</v>
      </c>
      <c r="F18" s="8" t="s">
        <v>1031</v>
      </c>
    </row>
    <row r="19" spans="1:8" x14ac:dyDescent="0.25">
      <c r="A19" s="11" t="s">
        <v>530</v>
      </c>
      <c r="B19">
        <v>2</v>
      </c>
      <c r="C19">
        <v>0</v>
      </c>
      <c r="D19">
        <v>1</v>
      </c>
      <c r="E19">
        <v>320</v>
      </c>
      <c r="F19" t="s">
        <v>1032</v>
      </c>
    </row>
    <row r="20" spans="1:8" x14ac:dyDescent="0.25">
      <c r="A20" s="13" t="s">
        <v>533</v>
      </c>
      <c r="B20">
        <v>2</v>
      </c>
      <c r="C20">
        <v>0</v>
      </c>
      <c r="D20">
        <v>1</v>
      </c>
      <c r="E20">
        <v>320</v>
      </c>
      <c r="F20" t="s">
        <v>1033</v>
      </c>
    </row>
    <row r="21" spans="1:8" x14ac:dyDescent="0.25">
      <c r="A21" s="13" t="s">
        <v>533</v>
      </c>
      <c r="B21">
        <v>2</v>
      </c>
      <c r="C21">
        <v>0</v>
      </c>
      <c r="D21">
        <v>1</v>
      </c>
      <c r="E21">
        <v>320</v>
      </c>
      <c r="F21" t="s">
        <v>1034</v>
      </c>
    </row>
    <row r="22" spans="1:8" x14ac:dyDescent="0.25">
      <c r="A22" s="13" t="s">
        <v>533</v>
      </c>
      <c r="B22">
        <v>2</v>
      </c>
      <c r="C22">
        <v>0</v>
      </c>
      <c r="D22">
        <v>1</v>
      </c>
      <c r="E22">
        <v>320</v>
      </c>
      <c r="F22" t="s">
        <v>1035</v>
      </c>
    </row>
    <row r="23" spans="1:8" x14ac:dyDescent="0.25">
      <c r="A23" s="13" t="s">
        <v>533</v>
      </c>
      <c r="B23">
        <v>2</v>
      </c>
      <c r="C23">
        <v>0</v>
      </c>
      <c r="D23">
        <v>1</v>
      </c>
      <c r="E23">
        <v>320</v>
      </c>
      <c r="F23" t="s">
        <v>1068</v>
      </c>
    </row>
    <row r="24" spans="1:8" x14ac:dyDescent="0.25">
      <c r="A24" s="13" t="s">
        <v>533</v>
      </c>
      <c r="B24">
        <v>2</v>
      </c>
      <c r="C24">
        <v>0</v>
      </c>
      <c r="D24">
        <v>1</v>
      </c>
      <c r="E24">
        <v>320</v>
      </c>
      <c r="F24" t="s">
        <v>1068</v>
      </c>
    </row>
    <row r="25" spans="1:8" x14ac:dyDescent="0.25">
      <c r="A25" s="11" t="s">
        <v>532</v>
      </c>
      <c r="B25">
        <v>2</v>
      </c>
      <c r="C25">
        <v>0</v>
      </c>
      <c r="D25">
        <v>1</v>
      </c>
      <c r="E25">
        <v>320</v>
      </c>
      <c r="F25" t="s">
        <v>1152</v>
      </c>
    </row>
    <row r="26" spans="1:8" x14ac:dyDescent="0.25">
      <c r="A26" s="11" t="s">
        <v>532</v>
      </c>
      <c r="B26">
        <v>2</v>
      </c>
      <c r="C26">
        <v>0</v>
      </c>
      <c r="D26">
        <v>1</v>
      </c>
      <c r="E26">
        <v>320</v>
      </c>
      <c r="F26" t="s">
        <v>1153</v>
      </c>
    </row>
    <row r="27" spans="1:8" x14ac:dyDescent="0.25">
      <c r="A27" s="11" t="s">
        <v>530</v>
      </c>
      <c r="B27">
        <v>2</v>
      </c>
      <c r="C27">
        <v>0</v>
      </c>
      <c r="D27">
        <v>1</v>
      </c>
      <c r="E27">
        <v>160</v>
      </c>
      <c r="F27" t="s">
        <v>1180</v>
      </c>
    </row>
    <row r="28" spans="1:8" x14ac:dyDescent="0.25">
      <c r="A28" s="13" t="s">
        <v>533</v>
      </c>
      <c r="B28">
        <v>2</v>
      </c>
      <c r="C28">
        <v>0</v>
      </c>
      <c r="D28">
        <v>1</v>
      </c>
      <c r="E28">
        <v>160</v>
      </c>
      <c r="F28" t="s">
        <v>1181</v>
      </c>
    </row>
    <row r="29" spans="1:8" x14ac:dyDescent="0.25">
      <c r="A29" s="11" t="s">
        <v>530</v>
      </c>
      <c r="B29">
        <v>2</v>
      </c>
      <c r="C29">
        <v>0</v>
      </c>
      <c r="D29">
        <v>1</v>
      </c>
      <c r="E29">
        <v>320</v>
      </c>
      <c r="F29" t="s">
        <v>1182</v>
      </c>
    </row>
    <row r="30" spans="1:8" x14ac:dyDescent="0.25">
      <c r="A30" s="13" t="s">
        <v>533</v>
      </c>
      <c r="B30">
        <v>2</v>
      </c>
      <c r="C30">
        <v>0</v>
      </c>
      <c r="D30">
        <v>3</v>
      </c>
      <c r="E30">
        <v>160</v>
      </c>
      <c r="F30" t="s">
        <v>1183</v>
      </c>
      <c r="G30" t="s">
        <v>1184</v>
      </c>
      <c r="H30" t="s">
        <v>1204</v>
      </c>
    </row>
    <row r="31" spans="1:8" x14ac:dyDescent="0.25">
      <c r="A31" s="11" t="s">
        <v>530</v>
      </c>
      <c r="B31">
        <v>2</v>
      </c>
      <c r="C31">
        <v>0</v>
      </c>
      <c r="D31">
        <v>3</v>
      </c>
      <c r="E31">
        <v>320</v>
      </c>
      <c r="F31" t="s">
        <v>1026</v>
      </c>
      <c r="G31" t="s">
        <v>1212</v>
      </c>
      <c r="H31" t="s">
        <v>1213</v>
      </c>
    </row>
    <row r="32" spans="1:8" x14ac:dyDescent="0.25">
      <c r="A32" s="13" t="s">
        <v>533</v>
      </c>
      <c r="B32">
        <v>2</v>
      </c>
      <c r="C32">
        <v>0</v>
      </c>
      <c r="D32">
        <v>1</v>
      </c>
      <c r="E32">
        <v>320</v>
      </c>
      <c r="F32" t="s">
        <v>1214</v>
      </c>
    </row>
    <row r="33" spans="1:7" x14ac:dyDescent="0.25">
      <c r="A33" s="11" t="s">
        <v>530</v>
      </c>
      <c r="B33">
        <v>2</v>
      </c>
      <c r="C33">
        <v>0</v>
      </c>
      <c r="D33">
        <v>2</v>
      </c>
      <c r="E33">
        <v>320</v>
      </c>
      <c r="F33" t="s">
        <v>1226</v>
      </c>
      <c r="G33" t="s">
        <v>1227</v>
      </c>
    </row>
    <row r="34" spans="1:7" x14ac:dyDescent="0.25">
      <c r="A34" s="11" t="s">
        <v>532</v>
      </c>
      <c r="B34">
        <v>2</v>
      </c>
      <c r="C34">
        <v>0</v>
      </c>
      <c r="D34">
        <v>1</v>
      </c>
      <c r="E34">
        <v>320</v>
      </c>
      <c r="F34" t="s">
        <v>1152</v>
      </c>
    </row>
    <row r="35" spans="1:7" x14ac:dyDescent="0.25">
      <c r="A35" s="11" t="s">
        <v>532</v>
      </c>
      <c r="B35">
        <v>2</v>
      </c>
      <c r="C35">
        <v>0</v>
      </c>
      <c r="D35">
        <v>1</v>
      </c>
      <c r="E35">
        <v>320</v>
      </c>
      <c r="F35" t="s">
        <v>1153</v>
      </c>
    </row>
    <row r="36" spans="1:7" x14ac:dyDescent="0.25">
      <c r="A36" s="18" t="s">
        <v>530</v>
      </c>
      <c r="B36" s="15">
        <v>2</v>
      </c>
      <c r="C36" s="15">
        <v>0</v>
      </c>
      <c r="D36" s="15">
        <v>2</v>
      </c>
      <c r="E36" s="15">
        <v>320</v>
      </c>
      <c r="F36" s="15" t="s">
        <v>1309</v>
      </c>
      <c r="G36" s="15" t="s">
        <v>1310</v>
      </c>
    </row>
    <row r="37" spans="1:7" x14ac:dyDescent="0.25">
      <c r="A37" s="18" t="s">
        <v>530</v>
      </c>
      <c r="B37" s="15">
        <v>2</v>
      </c>
      <c r="C37" s="15">
        <v>0</v>
      </c>
      <c r="D37" s="15">
        <v>1</v>
      </c>
      <c r="E37" s="15">
        <v>320</v>
      </c>
      <c r="F37" s="15" t="s">
        <v>1311</v>
      </c>
      <c r="G37" s="19"/>
    </row>
  </sheetData>
  <phoneticPr fontId="7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3203-F30A-4B6B-A8AB-F995ADB5960C}">
  <dimension ref="A1:H56"/>
  <sheetViews>
    <sheetView topLeftCell="A28" workbookViewId="0">
      <selection activeCell="L51" sqref="L51"/>
    </sheetView>
  </sheetViews>
  <sheetFormatPr defaultRowHeight="15" x14ac:dyDescent="0.25"/>
  <cols>
    <col min="1" max="1" width="11" bestFit="1" customWidth="1"/>
    <col min="2" max="2" width="9.28515625" bestFit="1" customWidth="1"/>
    <col min="4" max="4" width="14.7109375" customWidth="1"/>
    <col min="6" max="6" width="10.7109375" bestFit="1" customWidth="1"/>
    <col min="7" max="7" width="15.140625" bestFit="1" customWidth="1"/>
    <col min="8" max="8" width="6.42578125" bestFit="1" customWidth="1"/>
  </cols>
  <sheetData>
    <row r="1" spans="1:8" x14ac:dyDescent="0.25">
      <c r="A1" s="1" t="s">
        <v>779</v>
      </c>
      <c r="B1" s="1" t="s">
        <v>780</v>
      </c>
      <c r="C1" s="1" t="s">
        <v>511</v>
      </c>
      <c r="D1" s="1" t="s">
        <v>514</v>
      </c>
      <c r="E1" s="1" t="s">
        <v>923</v>
      </c>
      <c r="F1" s="1" t="s">
        <v>922</v>
      </c>
      <c r="G1" s="1" t="s">
        <v>921</v>
      </c>
      <c r="H1" s="1" t="s">
        <v>926</v>
      </c>
    </row>
    <row r="2" spans="1:8" x14ac:dyDescent="0.25">
      <c r="A2">
        <v>5925</v>
      </c>
      <c r="B2">
        <v>7125</v>
      </c>
      <c r="C2">
        <v>320</v>
      </c>
      <c r="D2">
        <v>512</v>
      </c>
      <c r="E2">
        <v>1</v>
      </c>
      <c r="F2">
        <v>30</v>
      </c>
      <c r="G2">
        <v>5</v>
      </c>
      <c r="H2">
        <v>0</v>
      </c>
    </row>
    <row r="3" spans="1:8" x14ac:dyDescent="0.25">
      <c r="A3">
        <v>5925</v>
      </c>
      <c r="B3">
        <v>7125</v>
      </c>
      <c r="C3">
        <v>320</v>
      </c>
      <c r="D3">
        <v>512</v>
      </c>
      <c r="E3">
        <v>1</v>
      </c>
      <c r="F3">
        <v>24</v>
      </c>
      <c r="G3">
        <v>-1</v>
      </c>
      <c r="H3">
        <v>0</v>
      </c>
    </row>
    <row r="4" spans="1:8" x14ac:dyDescent="0.25">
      <c r="A4">
        <v>5925</v>
      </c>
      <c r="B4">
        <v>6425</v>
      </c>
      <c r="C4">
        <v>320</v>
      </c>
      <c r="D4">
        <v>0</v>
      </c>
      <c r="E4">
        <v>1</v>
      </c>
      <c r="F4">
        <v>30</v>
      </c>
      <c r="G4">
        <v>17</v>
      </c>
      <c r="H4">
        <v>0</v>
      </c>
    </row>
    <row r="5" spans="1:8" x14ac:dyDescent="0.25">
      <c r="A5">
        <v>6525</v>
      </c>
      <c r="B5">
        <v>6885</v>
      </c>
      <c r="C5">
        <v>320</v>
      </c>
      <c r="D5">
        <v>0</v>
      </c>
      <c r="E5">
        <v>1</v>
      </c>
      <c r="F5">
        <v>30</v>
      </c>
      <c r="G5">
        <v>17</v>
      </c>
      <c r="H5">
        <v>0</v>
      </c>
    </row>
    <row r="6" spans="1:8" x14ac:dyDescent="0.25">
      <c r="A6">
        <v>5945</v>
      </c>
      <c r="B6">
        <v>6425</v>
      </c>
      <c r="C6">
        <v>320</v>
      </c>
      <c r="D6">
        <v>512</v>
      </c>
      <c r="E6">
        <v>1</v>
      </c>
      <c r="F6">
        <v>24</v>
      </c>
      <c r="G6">
        <v>11</v>
      </c>
      <c r="H6">
        <v>0</v>
      </c>
    </row>
    <row r="7" spans="1:8" x14ac:dyDescent="0.25">
      <c r="A7">
        <v>5945</v>
      </c>
      <c r="B7">
        <v>6425</v>
      </c>
      <c r="C7">
        <v>320</v>
      </c>
      <c r="D7">
        <v>0</v>
      </c>
      <c r="E7">
        <v>1</v>
      </c>
      <c r="F7">
        <v>14</v>
      </c>
      <c r="G7">
        <v>11</v>
      </c>
      <c r="H7">
        <v>0</v>
      </c>
    </row>
    <row r="8" spans="1:8" x14ac:dyDescent="0.25">
      <c r="A8">
        <v>5945</v>
      </c>
      <c r="B8">
        <v>7125</v>
      </c>
      <c r="C8">
        <v>320</v>
      </c>
      <c r="D8">
        <v>512</v>
      </c>
      <c r="E8">
        <v>1</v>
      </c>
      <c r="F8">
        <v>20</v>
      </c>
      <c r="G8">
        <v>2</v>
      </c>
      <c r="H8">
        <v>0</v>
      </c>
    </row>
    <row r="9" spans="1:8" x14ac:dyDescent="0.25">
      <c r="A9">
        <v>5945</v>
      </c>
      <c r="B9">
        <v>6425</v>
      </c>
      <c r="C9">
        <v>320</v>
      </c>
      <c r="D9">
        <v>0</v>
      </c>
      <c r="E9">
        <v>1</v>
      </c>
      <c r="F9">
        <v>14</v>
      </c>
      <c r="G9">
        <v>1</v>
      </c>
      <c r="H9">
        <v>0</v>
      </c>
    </row>
    <row r="10" spans="1:8" x14ac:dyDescent="0.25">
      <c r="A10">
        <v>5945</v>
      </c>
      <c r="B10">
        <v>6425</v>
      </c>
      <c r="C10">
        <v>320</v>
      </c>
      <c r="D10">
        <v>512</v>
      </c>
      <c r="E10">
        <v>1</v>
      </c>
      <c r="F10">
        <v>63</v>
      </c>
      <c r="G10">
        <v>2</v>
      </c>
      <c r="H10">
        <v>0</v>
      </c>
    </row>
    <row r="11" spans="1:8" x14ac:dyDescent="0.25">
      <c r="A11">
        <v>6425</v>
      </c>
      <c r="B11">
        <v>6525</v>
      </c>
      <c r="C11">
        <v>100</v>
      </c>
      <c r="D11">
        <v>512</v>
      </c>
      <c r="E11">
        <v>1</v>
      </c>
      <c r="F11">
        <v>63</v>
      </c>
      <c r="G11">
        <v>2</v>
      </c>
      <c r="H11">
        <v>0</v>
      </c>
    </row>
    <row r="12" spans="1:8" x14ac:dyDescent="0.25">
      <c r="A12">
        <v>6525</v>
      </c>
      <c r="B12">
        <v>6875</v>
      </c>
      <c r="C12">
        <v>320</v>
      </c>
      <c r="D12">
        <v>512</v>
      </c>
      <c r="E12">
        <v>1</v>
      </c>
      <c r="F12">
        <v>63</v>
      </c>
      <c r="G12">
        <v>2</v>
      </c>
      <c r="H12">
        <v>0</v>
      </c>
    </row>
    <row r="13" spans="1:8" x14ac:dyDescent="0.25">
      <c r="A13">
        <v>6875</v>
      </c>
      <c r="B13">
        <v>7125</v>
      </c>
      <c r="C13">
        <v>320</v>
      </c>
      <c r="D13">
        <v>512</v>
      </c>
      <c r="E13">
        <v>1</v>
      </c>
      <c r="F13">
        <v>63</v>
      </c>
      <c r="G13">
        <v>2</v>
      </c>
      <c r="H13">
        <v>0</v>
      </c>
    </row>
    <row r="14" spans="1:8" x14ac:dyDescent="0.25">
      <c r="A14">
        <v>5945</v>
      </c>
      <c r="B14">
        <v>6425</v>
      </c>
      <c r="C14">
        <v>320</v>
      </c>
      <c r="D14">
        <v>512</v>
      </c>
      <c r="E14">
        <v>1</v>
      </c>
      <c r="F14">
        <v>14</v>
      </c>
      <c r="G14">
        <v>1</v>
      </c>
      <c r="H14">
        <v>0</v>
      </c>
    </row>
    <row r="15" spans="1:8" x14ac:dyDescent="0.25">
      <c r="A15">
        <v>5925</v>
      </c>
      <c r="B15">
        <v>6425</v>
      </c>
      <c r="C15">
        <v>320</v>
      </c>
      <c r="D15">
        <v>512</v>
      </c>
      <c r="E15">
        <v>1</v>
      </c>
      <c r="F15">
        <v>23</v>
      </c>
      <c r="G15">
        <v>0</v>
      </c>
      <c r="H15">
        <v>0</v>
      </c>
    </row>
    <row r="16" spans="1:8" x14ac:dyDescent="0.25">
      <c r="A16">
        <v>6425</v>
      </c>
      <c r="B16">
        <v>6525</v>
      </c>
      <c r="C16">
        <v>100</v>
      </c>
      <c r="D16">
        <v>512</v>
      </c>
      <c r="E16">
        <v>1</v>
      </c>
      <c r="F16">
        <v>23</v>
      </c>
      <c r="G16">
        <v>0</v>
      </c>
      <c r="H16">
        <v>0</v>
      </c>
    </row>
    <row r="17" spans="1:8" x14ac:dyDescent="0.25">
      <c r="A17">
        <v>6525</v>
      </c>
      <c r="B17">
        <v>7125</v>
      </c>
      <c r="C17">
        <v>320</v>
      </c>
      <c r="D17">
        <v>512</v>
      </c>
      <c r="E17">
        <v>1</v>
      </c>
      <c r="F17">
        <v>22</v>
      </c>
      <c r="G17">
        <v>0</v>
      </c>
      <c r="H17">
        <v>0</v>
      </c>
    </row>
    <row r="18" spans="1:8" x14ac:dyDescent="0.25">
      <c r="A18">
        <v>6525</v>
      </c>
      <c r="B18">
        <v>6875</v>
      </c>
      <c r="C18">
        <v>320</v>
      </c>
      <c r="D18">
        <v>0</v>
      </c>
      <c r="E18">
        <v>1</v>
      </c>
      <c r="F18">
        <v>30</v>
      </c>
      <c r="G18">
        <v>17</v>
      </c>
      <c r="H18">
        <v>0</v>
      </c>
    </row>
    <row r="19" spans="1:8" x14ac:dyDescent="0.25">
      <c r="A19">
        <v>5945</v>
      </c>
      <c r="B19">
        <v>7125</v>
      </c>
      <c r="C19">
        <v>320</v>
      </c>
      <c r="D19">
        <v>2</v>
      </c>
      <c r="E19">
        <v>1</v>
      </c>
      <c r="F19">
        <v>30</v>
      </c>
      <c r="G19">
        <v>5</v>
      </c>
      <c r="H19">
        <v>0</v>
      </c>
    </row>
    <row r="20" spans="1:8" x14ac:dyDescent="0.25">
      <c r="A20">
        <v>5945</v>
      </c>
      <c r="B20">
        <v>7125</v>
      </c>
      <c r="C20">
        <v>320</v>
      </c>
      <c r="D20">
        <v>2</v>
      </c>
      <c r="E20">
        <v>1</v>
      </c>
      <c r="F20">
        <v>24</v>
      </c>
      <c r="G20">
        <v>-1</v>
      </c>
      <c r="H20">
        <v>0</v>
      </c>
    </row>
    <row r="21" spans="1:8" x14ac:dyDescent="0.25">
      <c r="A21">
        <v>5945</v>
      </c>
      <c r="B21">
        <v>6425</v>
      </c>
      <c r="C21">
        <v>320</v>
      </c>
      <c r="D21">
        <v>2</v>
      </c>
      <c r="E21">
        <v>1</v>
      </c>
      <c r="F21">
        <v>30</v>
      </c>
      <c r="G21">
        <v>17</v>
      </c>
      <c r="H21">
        <v>0</v>
      </c>
    </row>
    <row r="22" spans="1:8" x14ac:dyDescent="0.25">
      <c r="A22">
        <v>6525</v>
      </c>
      <c r="B22">
        <v>6875</v>
      </c>
      <c r="C22">
        <v>320</v>
      </c>
      <c r="D22">
        <v>2</v>
      </c>
      <c r="E22">
        <v>1</v>
      </c>
      <c r="F22">
        <v>30</v>
      </c>
      <c r="G22">
        <v>17</v>
      </c>
      <c r="H22">
        <v>0</v>
      </c>
    </row>
    <row r="23" spans="1:8" x14ac:dyDescent="0.25">
      <c r="A23">
        <v>5925</v>
      </c>
      <c r="B23">
        <v>7125</v>
      </c>
      <c r="C23">
        <v>320</v>
      </c>
      <c r="D23">
        <v>0</v>
      </c>
      <c r="E23">
        <v>1</v>
      </c>
      <c r="F23">
        <v>17</v>
      </c>
      <c r="G23">
        <v>-5</v>
      </c>
      <c r="H23">
        <v>0</v>
      </c>
    </row>
    <row r="24" spans="1:8" x14ac:dyDescent="0.25">
      <c r="A24">
        <v>5945</v>
      </c>
      <c r="B24">
        <v>6425</v>
      </c>
      <c r="C24">
        <v>320</v>
      </c>
      <c r="D24">
        <v>512</v>
      </c>
      <c r="E24">
        <v>1</v>
      </c>
      <c r="F24">
        <v>23</v>
      </c>
      <c r="G24">
        <v>10</v>
      </c>
      <c r="H24">
        <v>0</v>
      </c>
    </row>
    <row r="25" spans="1:8" x14ac:dyDescent="0.25">
      <c r="A25">
        <v>5945</v>
      </c>
      <c r="B25">
        <v>6425</v>
      </c>
      <c r="C25">
        <v>320</v>
      </c>
      <c r="D25">
        <v>0</v>
      </c>
      <c r="E25">
        <v>1</v>
      </c>
      <c r="F25">
        <v>14</v>
      </c>
      <c r="G25">
        <v>1</v>
      </c>
      <c r="H25">
        <v>0</v>
      </c>
    </row>
    <row r="26" spans="1:8" x14ac:dyDescent="0.25">
      <c r="A26">
        <v>5925</v>
      </c>
      <c r="B26">
        <v>6425</v>
      </c>
      <c r="C26">
        <v>320</v>
      </c>
      <c r="D26">
        <v>512</v>
      </c>
      <c r="E26">
        <v>1</v>
      </c>
      <c r="F26">
        <v>24</v>
      </c>
      <c r="G26">
        <v>32</v>
      </c>
      <c r="H26">
        <v>0</v>
      </c>
    </row>
    <row r="27" spans="1:8" x14ac:dyDescent="0.25">
      <c r="A27">
        <v>5925</v>
      </c>
      <c r="B27">
        <v>6765</v>
      </c>
      <c r="C27">
        <v>320</v>
      </c>
      <c r="D27">
        <v>0</v>
      </c>
      <c r="E27">
        <v>1</v>
      </c>
      <c r="F27">
        <v>36</v>
      </c>
      <c r="G27">
        <v>23</v>
      </c>
      <c r="H27">
        <v>0</v>
      </c>
    </row>
    <row r="28" spans="1:8" x14ac:dyDescent="0.25">
      <c r="A28">
        <v>5925</v>
      </c>
      <c r="B28">
        <v>7125</v>
      </c>
      <c r="C28">
        <v>320</v>
      </c>
      <c r="D28">
        <v>512</v>
      </c>
      <c r="E28">
        <v>1</v>
      </c>
      <c r="F28">
        <v>30</v>
      </c>
      <c r="G28">
        <v>32</v>
      </c>
      <c r="H28">
        <v>0</v>
      </c>
    </row>
    <row r="29" spans="1:8" x14ac:dyDescent="0.25">
      <c r="A29">
        <v>5925</v>
      </c>
      <c r="B29">
        <v>7125</v>
      </c>
      <c r="C29">
        <v>320</v>
      </c>
      <c r="D29">
        <v>0</v>
      </c>
      <c r="E29">
        <v>1</v>
      </c>
      <c r="F29">
        <v>14</v>
      </c>
      <c r="G29">
        <v>32</v>
      </c>
      <c r="H29">
        <v>0</v>
      </c>
    </row>
    <row r="30" spans="1:8" x14ac:dyDescent="0.25">
      <c r="A30">
        <v>5925</v>
      </c>
      <c r="B30">
        <v>7125</v>
      </c>
      <c r="C30">
        <v>320</v>
      </c>
      <c r="D30">
        <v>0</v>
      </c>
      <c r="E30">
        <v>1</v>
      </c>
      <c r="F30">
        <v>17</v>
      </c>
      <c r="G30">
        <v>-1</v>
      </c>
      <c r="H30">
        <v>0</v>
      </c>
    </row>
    <row r="31" spans="1:8" x14ac:dyDescent="0.25">
      <c r="A31">
        <v>5925</v>
      </c>
      <c r="B31">
        <v>7125</v>
      </c>
      <c r="C31">
        <v>320</v>
      </c>
      <c r="D31">
        <v>512</v>
      </c>
      <c r="E31">
        <v>1</v>
      </c>
      <c r="F31">
        <v>24</v>
      </c>
      <c r="G31">
        <v>10</v>
      </c>
      <c r="H31">
        <v>0</v>
      </c>
    </row>
    <row r="32" spans="1:8" x14ac:dyDescent="0.25">
      <c r="A32">
        <v>5945</v>
      </c>
      <c r="B32">
        <v>7125</v>
      </c>
      <c r="C32">
        <v>320</v>
      </c>
      <c r="D32">
        <v>512</v>
      </c>
      <c r="E32">
        <v>1</v>
      </c>
      <c r="F32">
        <v>20</v>
      </c>
      <c r="G32">
        <v>2</v>
      </c>
      <c r="H32">
        <v>0</v>
      </c>
    </row>
    <row r="33" spans="1:8" x14ac:dyDescent="0.25">
      <c r="A33">
        <v>5945</v>
      </c>
      <c r="B33">
        <v>6425</v>
      </c>
      <c r="C33" s="15">
        <v>320</v>
      </c>
      <c r="D33">
        <v>0</v>
      </c>
      <c r="E33">
        <v>1</v>
      </c>
      <c r="F33">
        <v>14</v>
      </c>
      <c r="G33">
        <v>1</v>
      </c>
      <c r="H33">
        <v>0</v>
      </c>
    </row>
    <row r="34" spans="1:8" x14ac:dyDescent="0.25">
      <c r="A34">
        <v>5925</v>
      </c>
      <c r="B34">
        <v>7125</v>
      </c>
      <c r="C34">
        <v>320</v>
      </c>
      <c r="D34">
        <v>512</v>
      </c>
      <c r="E34">
        <v>1</v>
      </c>
      <c r="F34">
        <v>23</v>
      </c>
      <c r="G34">
        <v>10</v>
      </c>
      <c r="H34">
        <v>0</v>
      </c>
    </row>
    <row r="35" spans="1:8" x14ac:dyDescent="0.25">
      <c r="A35">
        <v>5925</v>
      </c>
      <c r="B35">
        <v>7125</v>
      </c>
      <c r="C35">
        <v>320</v>
      </c>
      <c r="D35">
        <v>0</v>
      </c>
      <c r="E35">
        <v>1</v>
      </c>
      <c r="F35">
        <v>14</v>
      </c>
      <c r="G35">
        <v>1</v>
      </c>
      <c r="H35">
        <v>0</v>
      </c>
    </row>
    <row r="36" spans="1:8" x14ac:dyDescent="0.25">
      <c r="A36">
        <v>5945</v>
      </c>
      <c r="B36">
        <v>6425</v>
      </c>
      <c r="C36">
        <v>320</v>
      </c>
      <c r="D36">
        <v>512</v>
      </c>
      <c r="E36">
        <v>1</v>
      </c>
      <c r="F36">
        <v>23</v>
      </c>
      <c r="G36">
        <v>10</v>
      </c>
      <c r="H36">
        <v>0</v>
      </c>
    </row>
    <row r="37" spans="1:8" x14ac:dyDescent="0.25">
      <c r="A37">
        <v>5945</v>
      </c>
      <c r="B37">
        <v>6425</v>
      </c>
      <c r="C37">
        <v>320</v>
      </c>
      <c r="D37">
        <v>0</v>
      </c>
      <c r="E37">
        <v>1</v>
      </c>
      <c r="F37">
        <v>14</v>
      </c>
      <c r="G37">
        <v>1</v>
      </c>
      <c r="H37">
        <v>0</v>
      </c>
    </row>
    <row r="38" spans="1:8" x14ac:dyDescent="0.25">
      <c r="A38">
        <v>5925</v>
      </c>
      <c r="B38">
        <v>6425</v>
      </c>
      <c r="C38">
        <v>320</v>
      </c>
      <c r="D38">
        <v>512</v>
      </c>
      <c r="E38">
        <v>1</v>
      </c>
      <c r="F38">
        <v>30</v>
      </c>
      <c r="G38">
        <v>5</v>
      </c>
      <c r="H38">
        <v>0</v>
      </c>
    </row>
    <row r="39" spans="1:8" x14ac:dyDescent="0.25">
      <c r="A39">
        <v>5925</v>
      </c>
      <c r="B39">
        <v>6425</v>
      </c>
      <c r="C39">
        <v>320</v>
      </c>
      <c r="D39">
        <v>0</v>
      </c>
      <c r="E39">
        <v>1</v>
      </c>
      <c r="F39">
        <v>17</v>
      </c>
      <c r="G39">
        <v>-1</v>
      </c>
      <c r="H39">
        <v>0</v>
      </c>
    </row>
    <row r="40" spans="1:8" x14ac:dyDescent="0.25">
      <c r="A40">
        <v>5925</v>
      </c>
      <c r="B40">
        <v>6425</v>
      </c>
      <c r="C40">
        <v>320</v>
      </c>
      <c r="D40">
        <v>512</v>
      </c>
      <c r="E40">
        <v>1</v>
      </c>
      <c r="F40">
        <v>24</v>
      </c>
      <c r="G40">
        <v>-1</v>
      </c>
      <c r="H40">
        <v>0</v>
      </c>
    </row>
    <row r="41" spans="1:8" x14ac:dyDescent="0.25">
      <c r="A41">
        <v>5925</v>
      </c>
      <c r="B41">
        <v>6425</v>
      </c>
      <c r="C41">
        <v>320</v>
      </c>
      <c r="D41">
        <v>0</v>
      </c>
      <c r="E41">
        <v>1</v>
      </c>
      <c r="F41">
        <v>14</v>
      </c>
      <c r="G41">
        <v>-8</v>
      </c>
      <c r="H41">
        <v>0</v>
      </c>
    </row>
    <row r="42" spans="1:8" x14ac:dyDescent="0.25">
      <c r="A42">
        <v>6425</v>
      </c>
      <c r="B42">
        <v>6525</v>
      </c>
      <c r="C42">
        <v>100</v>
      </c>
      <c r="D42">
        <v>0</v>
      </c>
      <c r="E42">
        <v>1</v>
      </c>
      <c r="F42">
        <v>14</v>
      </c>
      <c r="G42">
        <v>-8</v>
      </c>
      <c r="H42">
        <v>0</v>
      </c>
    </row>
    <row r="43" spans="1:8" x14ac:dyDescent="0.25">
      <c r="A43">
        <v>6525</v>
      </c>
      <c r="B43">
        <v>6875</v>
      </c>
      <c r="C43">
        <v>320</v>
      </c>
      <c r="D43">
        <v>0</v>
      </c>
      <c r="E43">
        <v>1</v>
      </c>
      <c r="F43">
        <v>14</v>
      </c>
      <c r="G43">
        <v>-8</v>
      </c>
      <c r="H43">
        <v>0</v>
      </c>
    </row>
    <row r="44" spans="1:8" x14ac:dyDescent="0.25">
      <c r="A44">
        <v>6875</v>
      </c>
      <c r="B44">
        <v>7125</v>
      </c>
      <c r="C44">
        <v>320</v>
      </c>
      <c r="D44">
        <v>0</v>
      </c>
      <c r="E44">
        <v>1</v>
      </c>
      <c r="F44">
        <v>14</v>
      </c>
      <c r="G44">
        <v>-8</v>
      </c>
      <c r="H44">
        <v>0</v>
      </c>
    </row>
    <row r="45" spans="1:8" x14ac:dyDescent="0.25">
      <c r="A45">
        <v>5925</v>
      </c>
      <c r="B45">
        <v>7125</v>
      </c>
      <c r="C45">
        <v>320</v>
      </c>
      <c r="D45">
        <v>512</v>
      </c>
      <c r="E45">
        <v>1</v>
      </c>
      <c r="F45">
        <v>23</v>
      </c>
      <c r="G45">
        <v>0</v>
      </c>
      <c r="H45">
        <v>0</v>
      </c>
    </row>
    <row r="46" spans="1:8" x14ac:dyDescent="0.25">
      <c r="A46">
        <v>6525</v>
      </c>
      <c r="B46">
        <v>7125</v>
      </c>
      <c r="C46">
        <v>320</v>
      </c>
      <c r="D46">
        <v>0</v>
      </c>
      <c r="E46">
        <v>1</v>
      </c>
      <c r="F46">
        <v>14</v>
      </c>
      <c r="G46">
        <v>-8</v>
      </c>
      <c r="H46">
        <v>0</v>
      </c>
    </row>
    <row r="47" spans="1:8" x14ac:dyDescent="0.25">
      <c r="A47">
        <v>5925</v>
      </c>
      <c r="B47">
        <v>6525</v>
      </c>
      <c r="C47">
        <v>320</v>
      </c>
      <c r="D47">
        <v>512</v>
      </c>
      <c r="E47">
        <v>1</v>
      </c>
      <c r="F47">
        <v>23</v>
      </c>
      <c r="G47">
        <v>0</v>
      </c>
      <c r="H47">
        <v>0</v>
      </c>
    </row>
    <row r="48" spans="1:8" x14ac:dyDescent="0.25">
      <c r="A48">
        <v>6525</v>
      </c>
      <c r="B48">
        <v>7125</v>
      </c>
      <c r="C48">
        <v>320</v>
      </c>
      <c r="D48">
        <v>512</v>
      </c>
      <c r="E48">
        <v>1</v>
      </c>
      <c r="F48">
        <v>22</v>
      </c>
      <c r="G48">
        <v>0</v>
      </c>
      <c r="H48">
        <v>0</v>
      </c>
    </row>
    <row r="49" spans="1:8" x14ac:dyDescent="0.25">
      <c r="A49">
        <v>6425</v>
      </c>
      <c r="B49">
        <v>6525</v>
      </c>
      <c r="C49">
        <v>100</v>
      </c>
      <c r="D49">
        <v>0</v>
      </c>
      <c r="E49">
        <v>1</v>
      </c>
      <c r="F49">
        <v>30</v>
      </c>
      <c r="G49">
        <v>17</v>
      </c>
      <c r="H49">
        <v>0</v>
      </c>
    </row>
    <row r="50" spans="1:8" x14ac:dyDescent="0.25">
      <c r="A50">
        <v>6525</v>
      </c>
      <c r="B50">
        <v>6875</v>
      </c>
      <c r="C50">
        <v>320</v>
      </c>
      <c r="D50">
        <v>0</v>
      </c>
      <c r="E50">
        <v>1</v>
      </c>
      <c r="F50">
        <v>30</v>
      </c>
      <c r="G50">
        <v>17</v>
      </c>
      <c r="H50">
        <v>0</v>
      </c>
    </row>
    <row r="51" spans="1:8" x14ac:dyDescent="0.25">
      <c r="A51">
        <v>5925</v>
      </c>
      <c r="B51">
        <v>6425</v>
      </c>
      <c r="C51">
        <v>320</v>
      </c>
      <c r="D51">
        <v>0</v>
      </c>
      <c r="E51">
        <v>1</v>
      </c>
      <c r="F51">
        <v>14</v>
      </c>
      <c r="G51">
        <v>1</v>
      </c>
      <c r="H51">
        <v>0</v>
      </c>
    </row>
    <row r="52" spans="1:8" x14ac:dyDescent="0.25">
      <c r="A52">
        <v>5925</v>
      </c>
      <c r="B52">
        <v>6425</v>
      </c>
      <c r="C52">
        <v>320</v>
      </c>
      <c r="D52">
        <v>0</v>
      </c>
      <c r="E52">
        <v>1</v>
      </c>
      <c r="F52">
        <v>36</v>
      </c>
      <c r="G52">
        <v>23</v>
      </c>
      <c r="H52">
        <v>0</v>
      </c>
    </row>
    <row r="53" spans="1:8" x14ac:dyDescent="0.25">
      <c r="A53">
        <v>6525</v>
      </c>
      <c r="B53">
        <v>6875</v>
      </c>
      <c r="C53">
        <v>320</v>
      </c>
      <c r="D53">
        <v>0</v>
      </c>
      <c r="E53">
        <v>1</v>
      </c>
      <c r="F53">
        <v>36</v>
      </c>
      <c r="G53">
        <v>23</v>
      </c>
      <c r="H53">
        <v>0</v>
      </c>
    </row>
    <row r="54" spans="1:8" x14ac:dyDescent="0.25">
      <c r="A54" s="15">
        <v>5925</v>
      </c>
      <c r="B54" s="15">
        <v>6425</v>
      </c>
      <c r="C54" s="15">
        <v>320</v>
      </c>
      <c r="D54" s="15">
        <v>0</v>
      </c>
      <c r="E54" s="15">
        <v>1</v>
      </c>
      <c r="F54" s="15">
        <v>14</v>
      </c>
      <c r="G54" s="15">
        <v>-5</v>
      </c>
      <c r="H54" s="15">
        <v>0</v>
      </c>
    </row>
    <row r="55" spans="1:8" x14ac:dyDescent="0.25">
      <c r="A55" s="15">
        <v>6525</v>
      </c>
      <c r="B55" s="15">
        <v>6875</v>
      </c>
      <c r="C55" s="15">
        <v>160</v>
      </c>
      <c r="D55" s="15">
        <v>0</v>
      </c>
      <c r="E55" s="15">
        <v>1</v>
      </c>
      <c r="F55" s="15">
        <v>14</v>
      </c>
      <c r="G55" s="15">
        <v>-5</v>
      </c>
      <c r="H55" s="15">
        <v>0</v>
      </c>
    </row>
    <row r="56" spans="1:8" x14ac:dyDescent="0.25">
      <c r="A56" s="15">
        <v>5925</v>
      </c>
      <c r="B56" s="15">
        <v>7125</v>
      </c>
      <c r="C56" s="15">
        <v>320</v>
      </c>
      <c r="D56" s="15">
        <v>0</v>
      </c>
      <c r="E56" s="15">
        <v>1</v>
      </c>
      <c r="F56" s="15">
        <v>14</v>
      </c>
      <c r="G56" s="15">
        <v>-5</v>
      </c>
      <c r="H56" s="15">
        <v>0</v>
      </c>
    </row>
  </sheetData>
  <autoFilter ref="A1:H44" xr:uid="{B9073203-F30A-4B6B-A8AB-F995ADB5960C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B6E1-1ED1-403A-9BDA-3217880B92E9}">
  <dimension ref="A1:B35"/>
  <sheetViews>
    <sheetView workbookViewId="0">
      <selection activeCell="B5" sqref="B5"/>
    </sheetView>
  </sheetViews>
  <sheetFormatPr defaultRowHeight="15" x14ac:dyDescent="0.25"/>
  <cols>
    <col min="1" max="2" width="26.5703125" bestFit="1" customWidth="1"/>
  </cols>
  <sheetData>
    <row r="1" spans="1:2" x14ac:dyDescent="0.25">
      <c r="A1" s="1" t="s">
        <v>927</v>
      </c>
      <c r="B1" s="1" t="s">
        <v>928</v>
      </c>
    </row>
    <row r="2" spans="1:2" x14ac:dyDescent="0.25">
      <c r="A2" t="s">
        <v>916</v>
      </c>
      <c r="B2" t="s">
        <v>929</v>
      </c>
    </row>
    <row r="3" spans="1:2" x14ac:dyDescent="0.25">
      <c r="A3" t="s">
        <v>919</v>
      </c>
      <c r="B3" t="s">
        <v>931</v>
      </c>
    </row>
    <row r="4" spans="1:2" x14ac:dyDescent="0.25">
      <c r="A4" t="s">
        <v>918</v>
      </c>
      <c r="B4" t="s">
        <v>930</v>
      </c>
    </row>
    <row r="5" spans="1:2" x14ac:dyDescent="0.25">
      <c r="A5" t="s">
        <v>917</v>
      </c>
      <c r="B5" t="s">
        <v>932</v>
      </c>
    </row>
    <row r="6" spans="1:2" x14ac:dyDescent="0.25">
      <c r="A6" t="s">
        <v>933</v>
      </c>
      <c r="B6" t="s">
        <v>936</v>
      </c>
    </row>
    <row r="7" spans="1:2" x14ac:dyDescent="0.25">
      <c r="A7" t="s">
        <v>934</v>
      </c>
      <c r="B7" t="s">
        <v>935</v>
      </c>
    </row>
    <row r="8" spans="1:2" x14ac:dyDescent="0.25">
      <c r="A8" t="s">
        <v>939</v>
      </c>
      <c r="B8" t="s">
        <v>941</v>
      </c>
    </row>
    <row r="9" spans="1:2" x14ac:dyDescent="0.25">
      <c r="A9" t="s">
        <v>940</v>
      </c>
      <c r="B9" t="s">
        <v>942</v>
      </c>
    </row>
    <row r="10" spans="1:2" x14ac:dyDescent="0.25">
      <c r="A10" t="s">
        <v>949</v>
      </c>
      <c r="B10" t="s">
        <v>951</v>
      </c>
    </row>
    <row r="11" spans="1:2" x14ac:dyDescent="0.25">
      <c r="A11" t="s">
        <v>950</v>
      </c>
      <c r="B11" t="s">
        <v>952</v>
      </c>
    </row>
    <row r="12" spans="1:2" x14ac:dyDescent="0.25">
      <c r="A12" t="s">
        <v>995</v>
      </c>
      <c r="B12" t="s">
        <v>1000</v>
      </c>
    </row>
    <row r="13" spans="1:2" x14ac:dyDescent="0.25">
      <c r="A13" t="s">
        <v>996</v>
      </c>
      <c r="B13" t="s">
        <v>1001</v>
      </c>
    </row>
    <row r="14" spans="1:2" x14ac:dyDescent="0.25">
      <c r="A14" t="s">
        <v>994</v>
      </c>
      <c r="B14" t="s">
        <v>1002</v>
      </c>
    </row>
    <row r="15" spans="1:2" x14ac:dyDescent="0.25">
      <c r="A15" t="s">
        <v>1038</v>
      </c>
      <c r="B15" t="s">
        <v>974</v>
      </c>
    </row>
    <row r="16" spans="1:2" x14ac:dyDescent="0.25">
      <c r="A16" t="s">
        <v>1036</v>
      </c>
      <c r="B16" t="s">
        <v>1052</v>
      </c>
    </row>
    <row r="17" spans="1:2" x14ac:dyDescent="0.25">
      <c r="A17" t="s">
        <v>1037</v>
      </c>
      <c r="B17" t="s">
        <v>1053</v>
      </c>
    </row>
    <row r="18" spans="1:2" x14ac:dyDescent="0.25">
      <c r="A18" t="s">
        <v>1039</v>
      </c>
      <c r="B18" t="s">
        <v>973</v>
      </c>
    </row>
    <row r="19" spans="1:2" x14ac:dyDescent="0.25">
      <c r="A19" t="s">
        <v>1040</v>
      </c>
      <c r="B19" t="s">
        <v>1054</v>
      </c>
    </row>
    <row r="20" spans="1:2" x14ac:dyDescent="0.25">
      <c r="A20" t="s">
        <v>1041</v>
      </c>
      <c r="B20" t="s">
        <v>1055</v>
      </c>
    </row>
    <row r="21" spans="1:2" x14ac:dyDescent="0.25">
      <c r="A21" t="s">
        <v>1042</v>
      </c>
      <c r="B21" t="s">
        <v>1056</v>
      </c>
    </row>
    <row r="22" spans="1:2" x14ac:dyDescent="0.25">
      <c r="A22" t="s">
        <v>1043</v>
      </c>
      <c r="B22" t="s">
        <v>1069</v>
      </c>
    </row>
    <row r="23" spans="1:2" x14ac:dyDescent="0.25">
      <c r="A23" t="s">
        <v>1064</v>
      </c>
      <c r="B23" t="s">
        <v>1066</v>
      </c>
    </row>
    <row r="24" spans="1:2" x14ac:dyDescent="0.25">
      <c r="A24" t="s">
        <v>1065</v>
      </c>
      <c r="B24" t="s">
        <v>1067</v>
      </c>
    </row>
    <row r="25" spans="1:2" x14ac:dyDescent="0.25">
      <c r="A25" t="s">
        <v>1136</v>
      </c>
      <c r="B25" t="s">
        <v>1137</v>
      </c>
    </row>
    <row r="26" spans="1:2" x14ac:dyDescent="0.25">
      <c r="A26" t="s">
        <v>1138</v>
      </c>
      <c r="B26" t="s">
        <v>1154</v>
      </c>
    </row>
    <row r="27" spans="1:2" x14ac:dyDescent="0.25">
      <c r="A27" t="s">
        <v>1171</v>
      </c>
      <c r="B27" t="s">
        <v>1195</v>
      </c>
    </row>
    <row r="28" spans="1:2" x14ac:dyDescent="0.25">
      <c r="A28" t="s">
        <v>1172</v>
      </c>
      <c r="B28" t="s">
        <v>1196</v>
      </c>
    </row>
    <row r="29" spans="1:2" x14ac:dyDescent="0.25">
      <c r="A29" t="s">
        <v>1173</v>
      </c>
      <c r="B29" t="s">
        <v>1197</v>
      </c>
    </row>
    <row r="30" spans="1:2" x14ac:dyDescent="0.25">
      <c r="A30" t="s">
        <v>1174</v>
      </c>
      <c r="B30" t="s">
        <v>1198</v>
      </c>
    </row>
    <row r="31" spans="1:2" x14ac:dyDescent="0.25">
      <c r="A31" t="s">
        <v>1207</v>
      </c>
      <c r="B31" t="s">
        <v>1216</v>
      </c>
    </row>
    <row r="32" spans="1:2" x14ac:dyDescent="0.25">
      <c r="A32" t="s">
        <v>1208</v>
      </c>
      <c r="B32" t="s">
        <v>1217</v>
      </c>
    </row>
    <row r="33" spans="1:2" x14ac:dyDescent="0.25">
      <c r="A33" t="s">
        <v>1225</v>
      </c>
      <c r="B33" t="s">
        <v>1228</v>
      </c>
    </row>
    <row r="34" spans="1:2" x14ac:dyDescent="0.25">
      <c r="A34" t="s">
        <v>1234</v>
      </c>
      <c r="B34" t="s">
        <v>1237</v>
      </c>
    </row>
    <row r="35" spans="1:2" x14ac:dyDescent="0.25">
      <c r="A35" t="s">
        <v>1235</v>
      </c>
      <c r="B35" t="s">
        <v>1238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41B1-822E-4C97-A932-9734CC6F4123}">
  <dimension ref="A1:B35"/>
  <sheetViews>
    <sheetView workbookViewId="0">
      <selection activeCell="A35" sqref="A35"/>
    </sheetView>
  </sheetViews>
  <sheetFormatPr defaultRowHeight="15" x14ac:dyDescent="0.25"/>
  <cols>
    <col min="1" max="1" width="26.5703125" bestFit="1" customWidth="1"/>
    <col min="2" max="2" width="12.7109375" bestFit="1" customWidth="1"/>
  </cols>
  <sheetData>
    <row r="1" spans="1:2" x14ac:dyDescent="0.25">
      <c r="A1" s="1" t="s">
        <v>928</v>
      </c>
      <c r="B1" s="1" t="s">
        <v>1</v>
      </c>
    </row>
    <row r="2" spans="1:2" x14ac:dyDescent="0.25">
      <c r="A2" t="s">
        <v>929</v>
      </c>
      <c r="B2">
        <v>0</v>
      </c>
    </row>
    <row r="3" spans="1:2" x14ac:dyDescent="0.25">
      <c r="A3" t="s">
        <v>931</v>
      </c>
      <c r="B3">
        <v>2</v>
      </c>
    </row>
    <row r="4" spans="1:2" x14ac:dyDescent="0.25">
      <c r="A4" t="s">
        <v>930</v>
      </c>
      <c r="B4">
        <v>1</v>
      </c>
    </row>
    <row r="5" spans="1:2" x14ac:dyDescent="0.25">
      <c r="A5" t="s">
        <v>932</v>
      </c>
      <c r="B5">
        <v>3</v>
      </c>
    </row>
    <row r="6" spans="1:2" x14ac:dyDescent="0.25">
      <c r="A6" t="s">
        <v>936</v>
      </c>
      <c r="B6">
        <v>10</v>
      </c>
    </row>
    <row r="7" spans="1:2" x14ac:dyDescent="0.25">
      <c r="A7" t="s">
        <v>935</v>
      </c>
      <c r="B7">
        <v>11</v>
      </c>
    </row>
    <row r="8" spans="1:2" x14ac:dyDescent="0.25">
      <c r="A8" t="s">
        <v>941</v>
      </c>
      <c r="B8">
        <v>20</v>
      </c>
    </row>
    <row r="9" spans="1:2" x14ac:dyDescent="0.25">
      <c r="A9" t="s">
        <v>942</v>
      </c>
      <c r="B9">
        <v>21</v>
      </c>
    </row>
    <row r="10" spans="1:2" x14ac:dyDescent="0.25">
      <c r="A10" t="s">
        <v>951</v>
      </c>
      <c r="B10">
        <v>22</v>
      </c>
    </row>
    <row r="11" spans="1:2" x14ac:dyDescent="0.25">
      <c r="A11" t="s">
        <v>952</v>
      </c>
      <c r="B11">
        <v>23</v>
      </c>
    </row>
    <row r="12" spans="1:2" x14ac:dyDescent="0.25">
      <c r="A12" t="s">
        <v>973</v>
      </c>
      <c r="B12">
        <v>25</v>
      </c>
    </row>
    <row r="13" spans="1:2" x14ac:dyDescent="0.25">
      <c r="A13" t="s">
        <v>974</v>
      </c>
      <c r="B13">
        <v>24</v>
      </c>
    </row>
    <row r="14" spans="1:2" x14ac:dyDescent="0.25">
      <c r="A14" t="s">
        <v>1000</v>
      </c>
      <c r="B14">
        <v>26</v>
      </c>
    </row>
    <row r="15" spans="1:2" x14ac:dyDescent="0.25">
      <c r="A15" t="s">
        <v>1001</v>
      </c>
      <c r="B15">
        <v>27</v>
      </c>
    </row>
    <row r="16" spans="1:2" x14ac:dyDescent="0.25">
      <c r="A16" t="s">
        <v>1002</v>
      </c>
      <c r="B16">
        <v>28</v>
      </c>
    </row>
    <row r="17" spans="1:2" x14ac:dyDescent="0.25">
      <c r="A17" t="s">
        <v>1052</v>
      </c>
      <c r="B17">
        <v>29</v>
      </c>
    </row>
    <row r="18" spans="1:2" x14ac:dyDescent="0.25">
      <c r="A18" t="s">
        <v>1053</v>
      </c>
      <c r="B18">
        <v>30</v>
      </c>
    </row>
    <row r="19" spans="1:2" x14ac:dyDescent="0.25">
      <c r="A19" t="s">
        <v>1054</v>
      </c>
      <c r="B19">
        <v>31</v>
      </c>
    </row>
    <row r="20" spans="1:2" x14ac:dyDescent="0.25">
      <c r="A20" t="s">
        <v>1055</v>
      </c>
      <c r="B20">
        <v>32</v>
      </c>
    </row>
    <row r="21" spans="1:2" x14ac:dyDescent="0.25">
      <c r="A21" t="s">
        <v>1056</v>
      </c>
      <c r="B21">
        <v>33</v>
      </c>
    </row>
    <row r="22" spans="1:2" x14ac:dyDescent="0.25">
      <c r="A22" t="s">
        <v>1069</v>
      </c>
      <c r="B22">
        <v>34</v>
      </c>
    </row>
    <row r="23" spans="1:2" x14ac:dyDescent="0.25">
      <c r="A23" t="s">
        <v>1066</v>
      </c>
      <c r="B23">
        <v>35</v>
      </c>
    </row>
    <row r="24" spans="1:2" x14ac:dyDescent="0.25">
      <c r="A24" t="s">
        <v>1067</v>
      </c>
      <c r="B24">
        <v>36</v>
      </c>
    </row>
    <row r="25" spans="1:2" x14ac:dyDescent="0.25">
      <c r="A25" t="s">
        <v>1137</v>
      </c>
      <c r="B25">
        <v>37</v>
      </c>
    </row>
    <row r="26" spans="1:2" x14ac:dyDescent="0.25">
      <c r="A26" t="s">
        <v>1154</v>
      </c>
      <c r="B26">
        <v>38</v>
      </c>
    </row>
    <row r="27" spans="1:2" x14ac:dyDescent="0.25">
      <c r="A27" t="s">
        <v>1195</v>
      </c>
      <c r="B27">
        <v>39</v>
      </c>
    </row>
    <row r="28" spans="1:2" x14ac:dyDescent="0.25">
      <c r="A28" t="s">
        <v>1196</v>
      </c>
      <c r="B28">
        <v>40</v>
      </c>
    </row>
    <row r="29" spans="1:2" x14ac:dyDescent="0.25">
      <c r="A29" t="s">
        <v>1197</v>
      </c>
      <c r="B29">
        <v>41</v>
      </c>
    </row>
    <row r="30" spans="1:2" x14ac:dyDescent="0.25">
      <c r="A30" t="s">
        <v>1198</v>
      </c>
      <c r="B30">
        <v>42</v>
      </c>
    </row>
    <row r="31" spans="1:2" x14ac:dyDescent="0.25">
      <c r="A31" t="s">
        <v>1216</v>
      </c>
      <c r="B31">
        <v>43</v>
      </c>
    </row>
    <row r="32" spans="1:2" x14ac:dyDescent="0.25">
      <c r="A32" t="s">
        <v>1217</v>
      </c>
      <c r="B32">
        <v>44</v>
      </c>
    </row>
    <row r="33" spans="1:2" x14ac:dyDescent="0.25">
      <c r="A33" t="s">
        <v>1228</v>
      </c>
      <c r="B33">
        <v>45</v>
      </c>
    </row>
    <row r="34" spans="1:2" x14ac:dyDescent="0.25">
      <c r="A34" t="s">
        <v>1237</v>
      </c>
      <c r="B34">
        <v>46</v>
      </c>
    </row>
    <row r="35" spans="1:2" x14ac:dyDescent="0.25">
      <c r="A35" t="s">
        <v>1238</v>
      </c>
      <c r="B35">
        <v>47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7FD4-3631-4E22-80E4-E405C4AF3E3F}">
  <dimension ref="A1:B7"/>
  <sheetViews>
    <sheetView workbookViewId="0">
      <selection activeCell="B7" sqref="A7:B7"/>
    </sheetView>
  </sheetViews>
  <sheetFormatPr defaultRowHeight="15" x14ac:dyDescent="0.25"/>
  <cols>
    <col min="1" max="1" width="22" customWidth="1"/>
  </cols>
  <sheetData>
    <row r="1" spans="1:2" x14ac:dyDescent="0.25">
      <c r="A1" s="1" t="s">
        <v>1004</v>
      </c>
      <c r="B1" s="1" t="s">
        <v>1</v>
      </c>
    </row>
    <row r="2" spans="1:2" x14ac:dyDescent="0.25">
      <c r="A2" t="s">
        <v>1005</v>
      </c>
      <c r="B2">
        <v>0</v>
      </c>
    </row>
    <row r="3" spans="1:2" x14ac:dyDescent="0.25">
      <c r="A3" t="s">
        <v>1006</v>
      </c>
      <c r="B3">
        <v>1</v>
      </c>
    </row>
    <row r="4" spans="1:2" x14ac:dyDescent="0.25">
      <c r="A4" t="s">
        <v>1007</v>
      </c>
      <c r="B4">
        <v>2</v>
      </c>
    </row>
    <row r="5" spans="1:2" x14ac:dyDescent="0.25">
      <c r="A5" t="s">
        <v>1008</v>
      </c>
      <c r="B5">
        <v>3</v>
      </c>
    </row>
    <row r="6" spans="1:2" x14ac:dyDescent="0.25">
      <c r="A6" t="s">
        <v>1009</v>
      </c>
      <c r="B6">
        <v>4</v>
      </c>
    </row>
    <row r="7" spans="1:2" x14ac:dyDescent="0.25">
      <c r="A7" t="s">
        <v>1010</v>
      </c>
      <c r="B7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E6F98489D3AC4E917A919764925202" ma:contentTypeVersion="9" ma:contentTypeDescription="Create a new document." ma:contentTypeScope="" ma:versionID="4d5d55475f10f409d60688d10f6a3fe0">
  <xsd:schema xmlns:xsd="http://www.w3.org/2001/XMLSchema" xmlns:xs="http://www.w3.org/2001/XMLSchema" xmlns:p="http://schemas.microsoft.com/office/2006/metadata/properties" xmlns:ns3="b7fdc8a0-e8fd-4012-8e79-ff4b2d0da454" targetNamespace="http://schemas.microsoft.com/office/2006/metadata/properties" ma:root="true" ma:fieldsID="7b0e755ee40acbb90b584df4d5da3c70" ns3:_="">
    <xsd:import namespace="b7fdc8a0-e8fd-4012-8e79-ff4b2d0da4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dc8a0-e8fd-4012-8e79-ff4b2d0da4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1AA47-3E48-477E-8CF3-121009BC6571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b7fdc8a0-e8fd-4012-8e79-ff4b2d0da454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1E6F73A-7E35-4C87-A06A-371143D961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66F6F0-BB40-4E30-B223-89A3B56CA9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fdc8a0-e8fd-4012-8e79-ff4b2d0da4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REGDB_VERSION_HISTORY</vt:lpstr>
      <vt:lpstr>REG_DOMAINS_2G_LOOKUP</vt:lpstr>
      <vt:lpstr>REG_DOMAINS_5G_LOOKUP</vt:lpstr>
      <vt:lpstr>REG_DOMAINS_6G_LOOKUP</vt:lpstr>
      <vt:lpstr>REG_DOMAIN_PAIRS_INPUT</vt:lpstr>
      <vt:lpstr>SUPER_DOMAIN_INPUT</vt:lpstr>
      <vt:lpstr>REG_RULES_2G_LOOKUP</vt:lpstr>
      <vt:lpstr>REG_RULES_5G_LOOKUP</vt:lpstr>
      <vt:lpstr>REG_RULES_6G_LOOKUP</vt:lpstr>
      <vt:lpstr>IMPORTANT_MACROS_LOOKUP</vt:lpstr>
      <vt:lpstr>DFS_LOOKUP</vt:lpstr>
      <vt:lpstr>CTL_LOOKUP</vt:lpstr>
      <vt:lpstr>COUNTRY_LOOKUP</vt:lpstr>
      <vt:lpstr>REG_DMN_PAIR_LOOKUP</vt:lpstr>
      <vt:lpstr>SUPER_DMN_6G_LOOKUP</vt:lpstr>
      <vt:lpstr>ALL_COUNTRIES_INPUT</vt:lpstr>
      <vt:lpstr>REG_RULES_2G_INPUT</vt:lpstr>
      <vt:lpstr>REG_DOMAINS_2G_INPUT</vt:lpstr>
      <vt:lpstr>REG_RULES_5G_INPUT</vt:lpstr>
      <vt:lpstr>REG_DOMAINS_5G_INPUT</vt:lpstr>
      <vt:lpstr>REG_DOMAINS_6G_INPUT</vt:lpstr>
      <vt:lpstr>REG_RULES_6G_INPUT</vt:lpstr>
      <vt:lpstr>SUBDOMAINS_6G_MAP</vt:lpstr>
      <vt:lpstr>SUBDOMAINS_6G_INPUT</vt:lpstr>
      <vt:lpstr>5G6GBWCONVERTER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2024-08-28T20:43:01Z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0x010100A8E6F98489D3AC4E917A919764925202</vt:lpwstr>
  </property>
</Properties>
</file>