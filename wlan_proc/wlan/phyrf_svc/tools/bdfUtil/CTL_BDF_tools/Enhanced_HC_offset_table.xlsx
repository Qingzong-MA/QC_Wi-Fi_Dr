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KK\BDF\FR86554\CTL\src\Beryllium\"/>
    </mc:Choice>
  </mc:AlternateContent>
  <xr:revisionPtr revIDLastSave="0" documentId="13_ncr:1_{C8497E74-780F-4997-AB39-D69A0F6E2BBE}" xr6:coauthVersionLast="47" xr6:coauthVersionMax="47" xr10:uidLastSave="{00000000-0000-0000-0000-000000000000}"/>
  <bookViews>
    <workbookView xWindow="-120" yWindow="-120" windowWidth="29040" windowHeight="15840" activeTab="1" xr2:uid="{E0E9A312-1ADA-49E1-B4EC-6378C4C79744}"/>
  </bookViews>
  <sheets>
    <sheet name="Revision_history" sheetId="10" r:id="rId1"/>
    <sheet name="HC_offset_table" sheetId="11" r:id="rId2"/>
    <sheet name="Band_channel_info" sheetId="7" r:id="rId3"/>
  </sheets>
  <calcPr calcId="191028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4" i="7" l="1"/>
  <c r="C115" i="7"/>
  <c r="C116" i="7"/>
  <c r="C117" i="7"/>
  <c r="C118" i="7"/>
  <c r="C119" i="7"/>
  <c r="C120" i="7"/>
  <c r="C121" i="7"/>
  <c r="C122" i="7"/>
  <c r="C123" i="7"/>
  <c r="C108" i="7"/>
  <c r="D107" i="7"/>
  <c r="E107" i="7"/>
  <c r="C107" i="7"/>
  <c r="C106" i="7"/>
  <c r="D105" i="7"/>
  <c r="E105" i="7"/>
  <c r="C105" i="7"/>
  <c r="C104" i="7"/>
  <c r="D103" i="7"/>
  <c r="F103" i="7"/>
  <c r="G103" i="7"/>
  <c r="C103" i="7"/>
  <c r="C102" i="7"/>
  <c r="D101" i="7"/>
  <c r="E101" i="7"/>
  <c r="C101" i="7"/>
  <c r="C100" i="7"/>
  <c r="D99" i="7"/>
  <c r="C99" i="7"/>
  <c r="C98" i="7"/>
  <c r="D97" i="7"/>
  <c r="E97" i="7"/>
  <c r="C97" i="7"/>
  <c r="C96" i="7"/>
  <c r="D95" i="7"/>
  <c r="E95" i="7"/>
  <c r="C95" i="7"/>
  <c r="C94" i="7"/>
  <c r="D93" i="7"/>
  <c r="E93" i="7"/>
  <c r="C93" i="7"/>
  <c r="C92" i="7"/>
  <c r="D91" i="7"/>
  <c r="F91" i="7"/>
  <c r="C91" i="7"/>
  <c r="C90" i="7"/>
  <c r="D89" i="7"/>
  <c r="E89" i="7"/>
  <c r="C89" i="7"/>
  <c r="C88" i="7"/>
  <c r="D87" i="7"/>
  <c r="C87" i="7"/>
  <c r="C86" i="7"/>
  <c r="D85" i="7"/>
  <c r="E85" i="7"/>
  <c r="C85" i="7"/>
  <c r="C84" i="7"/>
  <c r="L83" i="7"/>
  <c r="D83" i="7"/>
  <c r="E83" i="7"/>
  <c r="C83" i="7"/>
  <c r="C82" i="7"/>
  <c r="D81" i="7"/>
  <c r="E81" i="7"/>
  <c r="C81" i="7"/>
  <c r="C80" i="7"/>
  <c r="D79" i="7"/>
  <c r="F79" i="7"/>
  <c r="G79" i="7"/>
  <c r="C79" i="7"/>
  <c r="C78" i="7"/>
  <c r="D77" i="7"/>
  <c r="E77" i="7"/>
  <c r="C77" i="7"/>
  <c r="C76" i="7"/>
  <c r="D75" i="7"/>
  <c r="F75" i="7"/>
  <c r="C75" i="7"/>
  <c r="C74" i="7"/>
  <c r="D73" i="7"/>
  <c r="E73" i="7"/>
  <c r="C73" i="7"/>
  <c r="C72" i="7"/>
  <c r="D71" i="7"/>
  <c r="E71" i="7"/>
  <c r="C71" i="7"/>
  <c r="C70" i="7"/>
  <c r="D69" i="7"/>
  <c r="E69" i="7"/>
  <c r="C69" i="7"/>
  <c r="C68" i="7"/>
  <c r="L67" i="7"/>
  <c r="D67" i="7"/>
  <c r="C67" i="7"/>
  <c r="C66" i="7"/>
  <c r="D65" i="7"/>
  <c r="E65" i="7"/>
  <c r="C65" i="7"/>
  <c r="C64" i="7"/>
  <c r="D63" i="7"/>
  <c r="F63" i="7"/>
  <c r="G63" i="7"/>
  <c r="C63" i="7"/>
  <c r="C62" i="7"/>
  <c r="D61" i="7"/>
  <c r="E61" i="7"/>
  <c r="C61" i="7"/>
  <c r="C60" i="7"/>
  <c r="D59" i="7"/>
  <c r="E59" i="7"/>
  <c r="C59" i="7"/>
  <c r="C58" i="7"/>
  <c r="D57" i="7"/>
  <c r="E57" i="7"/>
  <c r="C57" i="7"/>
  <c r="C56" i="7"/>
  <c r="D55" i="7"/>
  <c r="F55" i="7"/>
  <c r="G55" i="7"/>
  <c r="C55" i="7"/>
  <c r="C54" i="7"/>
  <c r="D53" i="7"/>
  <c r="E53" i="7"/>
  <c r="C53" i="7"/>
  <c r="C52" i="7"/>
  <c r="L51" i="7"/>
  <c r="D51" i="7"/>
  <c r="E51" i="7"/>
  <c r="C51" i="7"/>
  <c r="C50" i="7"/>
  <c r="F59" i="7"/>
  <c r="E91" i="7"/>
  <c r="F87" i="7"/>
  <c r="G87" i="7"/>
  <c r="E63" i="7"/>
  <c r="F95" i="7"/>
  <c r="G95" i="7"/>
  <c r="F71" i="7"/>
  <c r="G71" i="7"/>
  <c r="I91" i="7"/>
  <c r="J91" i="7"/>
  <c r="I59" i="7"/>
  <c r="J59" i="7"/>
  <c r="F51" i="7"/>
  <c r="I51" i="7"/>
  <c r="J51" i="7"/>
  <c r="F67" i="7"/>
  <c r="F83" i="7"/>
  <c r="I83" i="7"/>
  <c r="J83" i="7"/>
  <c r="F99" i="7"/>
  <c r="G99" i="7"/>
  <c r="I75" i="7"/>
  <c r="J75" i="7"/>
  <c r="G75" i="7"/>
  <c r="I67" i="7"/>
  <c r="J67" i="7"/>
  <c r="G67" i="7"/>
  <c r="E55" i="7"/>
  <c r="G59" i="7"/>
  <c r="E67" i="7"/>
  <c r="E75" i="7"/>
  <c r="E79" i="7"/>
  <c r="E87" i="7"/>
  <c r="G91" i="7"/>
  <c r="E99" i="7"/>
  <c r="E103" i="7"/>
  <c r="I99" i="7"/>
  <c r="J99" i="7"/>
  <c r="G51" i="7"/>
  <c r="G8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Gururaj G</author>
  </authors>
  <commentList>
    <comment ref="M6" authorId="0" shapeId="0" xr:uid="{74A415C3-E551-43D9-8852-2D457F473F30}">
      <text>
        <r>
          <rPr>
            <sz val="9"/>
            <color indexed="81"/>
            <rFont val="Tahoma"/>
            <charset val="1"/>
          </rPr>
          <t>1-supported
0-unsupported</t>
        </r>
      </text>
    </comment>
    <comment ref="M7" authorId="0" shapeId="0" xr:uid="{9BF92C16-AD38-48A0-982D-2585C5541458}">
      <text>
        <r>
          <rPr>
            <sz val="9"/>
            <color indexed="81"/>
            <rFont val="Tahoma"/>
            <charset val="1"/>
          </rPr>
          <t>1-supported
0-unsupported</t>
        </r>
      </text>
    </comment>
    <comment ref="J40" authorId="0" shapeId="0" xr:uid="{304B5575-4E2C-4450-95B1-3A291EDB1D1C}">
      <text>
        <r>
          <rPr>
            <sz val="9"/>
            <color indexed="81"/>
            <rFont val="Tahoma"/>
            <charset val="1"/>
          </rPr>
          <t>Refer Sheet "Band_channel_info" for the IEEE channels</t>
        </r>
      </text>
    </comment>
    <comment ref="G41" authorId="0" shapeId="0" xr:uid="{87CD4778-DABC-4D19-8528-1EFFA088043E}">
      <text>
        <r>
          <rPr>
            <sz val="9"/>
            <color indexed="81"/>
            <rFont val="Tahoma"/>
            <family val="2"/>
          </rPr>
          <t xml:space="preserve">
Applicable only for 11BE chipsets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Green</author>
  </authors>
  <commentList>
    <comment ref="B49" authorId="0" shapeId="0" xr:uid="{44FE0191-985E-4D1A-BC0F-BF47767865FC}">
      <text>
        <r>
          <rPr>
            <b/>
            <sz val="9"/>
            <color indexed="81"/>
            <rFont val="Tahoma"/>
            <family val="2"/>
          </rPr>
          <t>Included in some regdomains.  BDF bit needed to enable it.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<sst xmlns="http://schemas.openxmlformats.org/spreadsheetml/2006/main" count="275" uniqueCount="139">
  <si>
    <t>Note</t>
  </si>
  <si>
    <t>Command line Tool</t>
  </si>
  <si>
    <t>Sheet tool</t>
  </si>
  <si>
    <t>Behavior</t>
  </si>
  <si>
    <t>Old version</t>
  </si>
  <si>
    <t>New version</t>
  </si>
  <si>
    <t xml:space="preserve">Command line tool will display a warning that the tool and sheet are incompatible and tool will read only the fields relevant to Old Version  </t>
  </si>
  <si>
    <t xml:space="preserve">Command line tool will display a information about the mismatch but it will have the capability to read the fields corresponding  to the old version and generate the BDF  </t>
  </si>
  <si>
    <t>Revision History</t>
  </si>
  <si>
    <t>First release</t>
  </si>
  <si>
    <t>For QCOM internal use. If modified excel and script compatibility behaviour is undefined</t>
  </si>
  <si>
    <t xml:space="preserve">Revision </t>
  </si>
  <si>
    <t>Major</t>
  </si>
  <si>
    <t>Minor</t>
  </si>
  <si>
    <t>Map FCC and or ROW Offset data to Chosen CTL Region(s) - Same Mapping is applied to all PHY's</t>
  </si>
  <si>
    <t>Minor rev.indicates Excel only update</t>
  </si>
  <si>
    <t>Major rev.indicates Excel &amp; Tool update. Tool released with Excel</t>
  </si>
  <si>
    <t>FCC</t>
  </si>
  <si>
    <t>ETSI</t>
  </si>
  <si>
    <t>JPN</t>
  </si>
  <si>
    <t>KOR</t>
  </si>
  <si>
    <t>CHN</t>
  </si>
  <si>
    <t>USR</t>
  </si>
  <si>
    <t>FCC_HCOffset_Map</t>
  </si>
  <si>
    <t xml:space="preserve">   &lt;- Default maps FCC Offset table to FCC CTL Region only. 000001</t>
  </si>
  <si>
    <t>ROW_HCOffset_Map</t>
  </si>
  <si>
    <t xml:space="preserve">   &lt;- Default does not map ROW to any regions  0000000</t>
  </si>
  <si>
    <r>
      <rPr>
        <b/>
        <sz val="10"/>
        <rFont val="Arial"/>
        <family val="2"/>
      </rPr>
      <t xml:space="preserve">11ax Only: </t>
    </r>
    <r>
      <rPr>
        <sz val="10"/>
        <rFont val="Arial"/>
        <family val="2"/>
      </rPr>
      <t>Final BDF bitmap Values based on above configuration</t>
    </r>
  </si>
  <si>
    <t>0000001 FCC</t>
  </si>
  <si>
    <t>0000100 ETSI</t>
  </si>
  <si>
    <t>0001000 JPN</t>
  </si>
  <si>
    <t>0010000 KOR</t>
  </si>
  <si>
    <t>0100000 CHN</t>
  </si>
  <si>
    <t>1000000 User Defined Region</t>
  </si>
  <si>
    <r>
      <rPr>
        <b/>
        <sz val="10"/>
        <rFont val="Arial"/>
        <family val="2"/>
      </rPr>
      <t>11be only:</t>
    </r>
    <r>
      <rPr>
        <sz val="10"/>
        <rFont val="Arial"/>
        <family val="2"/>
      </rPr>
      <t>Final BDF bitmap Values based on above configuration</t>
    </r>
  </si>
  <si>
    <t>00000010 ETSI</t>
  </si>
  <si>
    <t>0000100 JPN</t>
  </si>
  <si>
    <t>0001000 KOR</t>
  </si>
  <si>
    <t>0010000 CHN</t>
  </si>
  <si>
    <t>0100000 User Defined Region</t>
  </si>
  <si>
    <t>Purple Cells Require OEM Input or Review</t>
  </si>
  <si>
    <t>HC_Expanded_Offset_Enable</t>
  </si>
  <si>
    <t>1 To Enable This Feature. 0 to disable.</t>
  </si>
  <si>
    <t>MCS to Legacy Mapping</t>
  </si>
  <si>
    <t>MCS0</t>
  </si>
  <si>
    <t>MCS1</t>
  </si>
  <si>
    <t>MCS2</t>
  </si>
  <si>
    <t>MCS3</t>
  </si>
  <si>
    <t>MCS4</t>
  </si>
  <si>
    <t>MCS5</t>
  </si>
  <si>
    <t>MCS6</t>
  </si>
  <si>
    <t>6,9 Mbps</t>
  </si>
  <si>
    <t>12Mbps</t>
  </si>
  <si>
    <t>18Mbps</t>
  </si>
  <si>
    <t>24Mbps</t>
  </si>
  <si>
    <t>36Mbps</t>
  </si>
  <si>
    <t>48Mbps</t>
  </si>
  <si>
    <t>54Mbps</t>
  </si>
  <si>
    <t>Notes:</t>
  </si>
  <si>
    <t>`</t>
  </si>
  <si>
    <t>Same Offsets Applied to all Ntx, Nss, BF packets</t>
  </si>
  <si>
    <t>Same Offsets Applied to all OFDMA and non-OFDMA Packets (except 2G CCK)</t>
  </si>
  <si>
    <t>HC_Offset values are subtracted from CTL values</t>
  </si>
  <si>
    <t>PHYA0</t>
  </si>
  <si>
    <t>PHYA1</t>
  </si>
  <si>
    <t>PHYB</t>
  </si>
  <si>
    <t>Not Applicable for 11BE</t>
  </si>
  <si>
    <t xml:space="preserve">nonHT  duplicate offsets 7dbm max value in  0.5 db steps(4 bits per Bandwidth). Backoff with this additonal offset for nonHT </t>
  </si>
  <si>
    <t>nonHT40_duplicate_offset</t>
  </si>
  <si>
    <t>nonHT80_duplicate_offset</t>
  </si>
  <si>
    <t>nonHT160_duplicate_offset</t>
  </si>
  <si>
    <t>nonHT320_duplicate_offset</t>
  </si>
  <si>
    <t>NDP_HC_MCS_Index (MCS0 to 15) --&gt;</t>
  </si>
  <si>
    <t xml:space="preserve">MCS Values(0 to 15 ) - 16bits  </t>
  </si>
  <si>
    <t>(MCS 14.15 apply to 11be)</t>
  </si>
  <si>
    <t xml:space="preserve">MCS Values(0 to 13 ) - 16bits  </t>
  </si>
  <si>
    <t>FCC and ROW BIN1 MCS map</t>
  </si>
  <si>
    <t>FCC and ROW BIN2 MCS Map</t>
  </si>
  <si>
    <t>FCC and ROW BIN3 MCS Map</t>
  </si>
  <si>
    <t>FCC and ROW BIN4 MCS Map</t>
  </si>
  <si>
    <t>3,4</t>
  </si>
  <si>
    <t>5,6</t>
  </si>
  <si>
    <t>7,8,9,10, 11,12,13</t>
  </si>
  <si>
    <r>
      <t xml:space="preserve">4 Each FCC &amp; ROW BINs:  2 byte bitmap to assign non-overlapping bins
</t>
    </r>
    <r>
      <rPr>
        <b/>
        <sz val="10"/>
        <rFont val="Arial"/>
        <family val="2"/>
      </rPr>
      <t>Reserved</t>
    </r>
    <r>
      <rPr>
        <sz val="10"/>
        <rFont val="Arial"/>
        <family val="2"/>
      </rPr>
      <t xml:space="preserve"> - Customer can use this reserved rows if needed to add more frequencies
Each cell below in purple is 4 bits (any value) Power Offsets (0 to 7.5dB in 0.5dB increments)   (unsigned)
</t>
    </r>
  </si>
  <si>
    <t>FCC Data</t>
  </si>
  <si>
    <t>ROW Data</t>
  </si>
  <si>
    <t>Only update this table when Frequencies in Column J are added, deleted or Changed</t>
  </si>
  <si>
    <t>2.4GHz</t>
  </si>
  <si>
    <t>IEEE Channels</t>
  </si>
  <si>
    <t>FCC BIN1 Offset</t>
  </si>
  <si>
    <t>FCC BIN2 Offset</t>
  </si>
  <si>
    <t>FCC BIN3 Offset</t>
  </si>
  <si>
    <t>FCC BIN4 Offset</t>
  </si>
  <si>
    <t>ROW BIN1 Offset</t>
  </si>
  <si>
    <t>ROW BIN2 Offset</t>
  </si>
  <si>
    <t>ROW BIN3 Offset</t>
  </si>
  <si>
    <t>ROW BIN4 Offset</t>
  </si>
  <si>
    <t>Bandwidth</t>
  </si>
  <si>
    <t>NOT APPLICABLE</t>
  </si>
  <si>
    <t>Reserved</t>
  </si>
  <si>
    <t>5GHz</t>
  </si>
  <si>
    <t>6GHz</t>
  </si>
  <si>
    <t>Can be any value 0-7dB</t>
  </si>
  <si>
    <t>FCC BE</t>
  </si>
  <si>
    <t>ETSI BE</t>
  </si>
  <si>
    <t>JAPAN and/or KOREA BE</t>
  </si>
  <si>
    <t>Fc = 5000 + chan# * 5</t>
  </si>
  <si>
    <t>chan# = (Fc-5000)/5</t>
  </si>
  <si>
    <t>Channel Number</t>
  </si>
  <si>
    <t>20MHz</t>
  </si>
  <si>
    <t>40MHz</t>
  </si>
  <si>
    <t>80MHz</t>
  </si>
  <si>
    <t>160MHz</t>
  </si>
  <si>
    <t>UNII-1 (5150-5250)</t>
  </si>
  <si>
    <t>UNII-2A (5250-5350)</t>
  </si>
  <si>
    <t>UNII-2C (5470-5725)</t>
  </si>
  <si>
    <t>Unused</t>
  </si>
  <si>
    <t>UNII-3 (5725-5850)</t>
  </si>
  <si>
    <t>UNII-4 (5850-5895)</t>
  </si>
  <si>
    <t>UNII-5 (5925-6425)</t>
  </si>
  <si>
    <t>Overlapping 320 MHz Channels in 6GHz</t>
  </si>
  <si>
    <t>320MHz (lower)</t>
  </si>
  <si>
    <t>320MHz (upper)</t>
  </si>
  <si>
    <t>UNII-6 (6425-6525)</t>
  </si>
  <si>
    <t>UNII-7 (6525-6875)</t>
  </si>
  <si>
    <t>UNII-8 (6875-7125)</t>
  </si>
  <si>
    <t>NA</t>
  </si>
  <si>
    <t>START 2G</t>
  </si>
  <si>
    <t>STOP 2G</t>
  </si>
  <si>
    <t>START 5G</t>
  </si>
  <si>
    <t>STOP 5G</t>
  </si>
  <si>
    <t>START 6G</t>
  </si>
  <si>
    <t>STOP 6G</t>
  </si>
  <si>
    <t>BW20</t>
  </si>
  <si>
    <t>BW40</t>
  </si>
  <si>
    <t>BW80</t>
  </si>
  <si>
    <t>BW160</t>
  </si>
  <si>
    <t>BW320</t>
  </si>
  <si>
    <t>0,1,2,14,15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</si>
</sst>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5" x14ac:knownFonts="1"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sz val="10"/>
      <color theme="0" tint="-0.34998626667073579"/>
      <name val="Arial"/>
      <family val="2"/>
    </font>
    <font>
      <b/>
      <u/>
      <sz val="10"/>
      <name val="Arial"/>
      <family val="2"/>
    </font>
    <font>
      <b/>
      <sz val="11"/>
      <color rgb="FF00CCFF"/>
      <name val="Arial"/>
      <family val="2"/>
    </font>
    <font>
      <sz val="10"/>
      <color rgb="FF0070C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24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theme="1"/>
      <name val="Calibri"/>
      <family val="2"/>
      <scheme val="minor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4"/>
      <color theme="1"/>
      <name val="Calibri"/>
      <family val="2"/>
      <scheme val="minor"/>
    </font>
    <font>
      <i/>
      <sz val="10"/>
      <name val="Arial"/>
      <family val="2"/>
    </font>
    <font>
      <b/>
      <u/>
      <sz val="11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70C0"/>
      <name val="Arial"/>
      <family val="2"/>
    </font>
    <font>
      <b/>
      <sz val="14"/>
      <color rgb="FF4472C4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FF0000"/>
      <name val="Arial"/>
      <family val="2"/>
    </font>
    <font>
      <sz val="9"/>
      <color indexed="81"/>
      <name val="Tahoma"/>
      <charset val="1"/>
    </font>
    <font>
      <sz val="24"/>
      <color rgb="FF7030A0"/>
      <name val="Calibri"/>
      <family val="2"/>
      <scheme val="minor"/>
    </font>
    <font>
      <sz val="24"/>
      <color rgb="FFFF0000"/>
      <name val="Calibri"/>
      <family val="2"/>
      <scheme val="minor"/>
    </font>
    <font>
      <b/>
      <u/>
      <sz val="12"/>
      <name val="Arial"/>
      <family val="2"/>
    </font>
    <font>
      <b/>
      <sz val="16"/>
      <color rgb="FF000000"/>
      <name val="Calibri"/>
      <family val="2"/>
      <scheme val="minor"/>
    </font>
    <font>
      <b/>
      <sz val="11"/>
      <color rgb="FF955AB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A9E8"/>
        <bgColor indexed="64"/>
      </patternFill>
    </fill>
  </fills>
  <borders count="1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 style="medium">
        <color theme="0" tint="-4.9989318521683403E-2"/>
      </bottom>
      <diagonal/>
    </border>
    <border>
      <left/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theme="0" tint="-4.9989318521683403E-2"/>
      </left>
      <right style="medium">
        <color rgb="FF000000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theme="0" tint="-4.9989318521683403E-2"/>
      </left>
      <right style="medium">
        <color rgb="FF000000"/>
      </right>
      <top style="medium">
        <color theme="0" tint="-4.9989318521683403E-2"/>
      </top>
      <bottom style="medium">
        <color rgb="FF000000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7030A0"/>
      </left>
      <right style="medium">
        <color rgb="FF7030A0"/>
      </right>
      <top style="thin">
        <color rgb="FF7030A0"/>
      </top>
      <bottom style="medium">
        <color rgb="FF7030A0"/>
      </bottom>
      <diagonal/>
    </border>
    <border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rgb="FF955AB0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ck">
        <color indexed="64"/>
      </right>
      <top style="medium">
        <color rgb="FF000000"/>
      </top>
      <bottom style="medium">
        <color indexed="64"/>
      </bottom>
      <diagonal/>
    </border>
    <border>
      <left/>
      <right style="thick">
        <color indexed="64"/>
      </right>
      <top style="medium">
        <color rgb="FF000000"/>
      </top>
      <bottom/>
      <diagonal/>
    </border>
    <border>
      <left/>
      <right style="thick">
        <color indexed="64"/>
      </right>
      <top style="medium">
        <color rgb="FF7030A0"/>
      </top>
      <bottom style="medium">
        <color rgb="FF7030A0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rgb="FF7030A0"/>
      </left>
      <right/>
      <top style="medium">
        <color indexed="64"/>
      </top>
      <bottom/>
      <diagonal/>
    </border>
    <border>
      <left/>
      <right style="medium">
        <color rgb="FF7030A0"/>
      </right>
      <top style="medium">
        <color indexed="64"/>
      </top>
      <bottom/>
      <diagonal/>
    </border>
    <border>
      <left/>
      <right/>
      <top style="medium">
        <color rgb="FF7030A0"/>
      </top>
      <bottom style="medium">
        <color rgb="FF000000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medium">
        <color rgb="FF00000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95">
    <xf numFmtId="0" fontId="0" fillId="0" borderId="0" xfId="0"/>
    <xf numFmtId="0" fontId="2" fillId="0" borderId="0" xfId="1" applyAlignment="1">
      <alignment horizontal="center" vertical="center"/>
    </xf>
    <xf numFmtId="0" fontId="2" fillId="0" borderId="0" xfId="1"/>
    <xf numFmtId="0" fontId="2" fillId="2" borderId="0" xfId="1" applyFill="1" applyAlignment="1">
      <alignment vertical="center"/>
    </xf>
    <xf numFmtId="0" fontId="2" fillId="0" borderId="0" xfId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1" applyAlignment="1">
      <alignment vertical="center"/>
    </xf>
    <xf numFmtId="0" fontId="3" fillId="0" borderId="4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2" fillId="0" borderId="4" xfId="1" applyBorder="1" applyAlignment="1">
      <alignment horizontal="center"/>
    </xf>
    <xf numFmtId="0" fontId="2" fillId="0" borderId="8" xfId="1" applyBorder="1"/>
    <xf numFmtId="0" fontId="2" fillId="0" borderId="9" xfId="1" applyBorder="1" applyAlignment="1">
      <alignment horizontal="center"/>
    </xf>
    <xf numFmtId="0" fontId="2" fillId="0" borderId="10" xfId="1" applyBorder="1"/>
    <xf numFmtId="0" fontId="2" fillId="0" borderId="13" xfId="1" applyBorder="1" applyAlignment="1">
      <alignment horizontal="center"/>
    </xf>
    <xf numFmtId="0" fontId="2" fillId="0" borderId="14" xfId="1" applyBorder="1"/>
    <xf numFmtId="0" fontId="2" fillId="2" borderId="0" xfId="1" applyFill="1" applyAlignment="1">
      <alignment horizontal="center" vertical="center"/>
    </xf>
    <xf numFmtId="0" fontId="13" fillId="2" borderId="3" xfId="1" applyFont="1" applyFill="1" applyBorder="1" applyAlignment="1">
      <alignment horizontal="center"/>
    </xf>
    <xf numFmtId="0" fontId="2" fillId="0" borderId="23" xfId="1" applyBorder="1" applyAlignment="1">
      <alignment horizontal="center"/>
    </xf>
    <xf numFmtId="0" fontId="2" fillId="0" borderId="24" xfId="1" applyBorder="1" applyAlignment="1">
      <alignment horizontal="center"/>
    </xf>
    <xf numFmtId="0" fontId="8" fillId="0" borderId="0" xfId="1" applyFont="1"/>
    <xf numFmtId="0" fontId="2" fillId="0" borderId="27" xfId="1" applyBorder="1" applyAlignment="1">
      <alignment horizontal="center"/>
    </xf>
    <xf numFmtId="0" fontId="2" fillId="2" borderId="31" xfId="1" applyFill="1" applyBorder="1" applyAlignment="1">
      <alignment vertical="center"/>
    </xf>
    <xf numFmtId="0" fontId="2" fillId="2" borderId="32" xfId="1" applyFill="1" applyBorder="1" applyAlignment="1">
      <alignment vertical="center"/>
    </xf>
    <xf numFmtId="0" fontId="2" fillId="2" borderId="33" xfId="1" applyFill="1" applyBorder="1" applyAlignment="1">
      <alignment vertical="center"/>
    </xf>
    <xf numFmtId="0" fontId="2" fillId="2" borderId="34" xfId="1" applyFill="1" applyBorder="1" applyAlignment="1">
      <alignment vertical="center"/>
    </xf>
    <xf numFmtId="0" fontId="2" fillId="0" borderId="30" xfId="1" applyBorder="1" applyAlignment="1">
      <alignment horizontal="center"/>
    </xf>
    <xf numFmtId="0" fontId="2" fillId="2" borderId="35" xfId="1" applyFill="1" applyBorder="1" applyAlignment="1">
      <alignment vertical="center"/>
    </xf>
    <xf numFmtId="0" fontId="2" fillId="2" borderId="36" xfId="1" applyFill="1" applyBorder="1" applyAlignment="1">
      <alignment vertical="center"/>
    </xf>
    <xf numFmtId="0" fontId="2" fillId="2" borderId="37" xfId="1" applyFill="1" applyBorder="1" applyAlignment="1">
      <alignment vertical="center"/>
    </xf>
    <xf numFmtId="0" fontId="2" fillId="0" borderId="37" xfId="1" applyBorder="1" applyAlignment="1">
      <alignment horizontal="center"/>
    </xf>
    <xf numFmtId="0" fontId="2" fillId="0" borderId="37" xfId="1" applyBorder="1"/>
    <xf numFmtId="0" fontId="2" fillId="0" borderId="37" xfId="1" applyBorder="1" applyAlignment="1">
      <alignment vertical="center"/>
    </xf>
    <xf numFmtId="0" fontId="16" fillId="0" borderId="37" xfId="1" applyFont="1" applyBorder="1" applyAlignment="1">
      <alignment vertical="center"/>
    </xf>
    <xf numFmtId="0" fontId="7" fillId="0" borderId="1" xfId="1" applyFont="1" applyBorder="1" applyAlignment="1">
      <alignment horizontal="left" vertical="center" wrapText="1"/>
    </xf>
    <xf numFmtId="0" fontId="2" fillId="2" borderId="38" xfId="1" applyFill="1" applyBorder="1" applyAlignment="1">
      <alignment vertical="center"/>
    </xf>
    <xf numFmtId="0" fontId="2" fillId="0" borderId="38" xfId="1" applyBorder="1" applyAlignment="1">
      <alignment vertical="center"/>
    </xf>
    <xf numFmtId="0" fontId="2" fillId="2" borderId="39" xfId="1" applyFill="1" applyBorder="1" applyAlignment="1">
      <alignment vertical="center"/>
    </xf>
    <xf numFmtId="0" fontId="8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20" fillId="0" borderId="0" xfId="1" applyFont="1"/>
    <xf numFmtId="0" fontId="2" fillId="0" borderId="0" xfId="1" quotePrefix="1"/>
    <xf numFmtId="0" fontId="14" fillId="0" borderId="0" xfId="0" applyFont="1"/>
    <xf numFmtId="0" fontId="2" fillId="0" borderId="20" xfId="1" applyBorder="1" applyAlignment="1">
      <alignment horizontal="center"/>
    </xf>
    <xf numFmtId="0" fontId="2" fillId="4" borderId="9" xfId="1" applyFill="1" applyBorder="1" applyAlignment="1">
      <alignment horizontal="center"/>
    </xf>
    <xf numFmtId="0" fontId="2" fillId="4" borderId="0" xfId="1" applyFill="1"/>
    <xf numFmtId="0" fontId="2" fillId="6" borderId="0" xfId="1" applyFill="1"/>
    <xf numFmtId="0" fontId="3" fillId="6" borderId="13" xfId="1" applyFont="1" applyFill="1" applyBorder="1" applyAlignment="1">
      <alignment horizontal="center"/>
    </xf>
    <xf numFmtId="0" fontId="3" fillId="6" borderId="4" xfId="1" applyFont="1" applyFill="1" applyBorder="1" applyAlignment="1">
      <alignment horizontal="center"/>
    </xf>
    <xf numFmtId="0" fontId="2" fillId="6" borderId="23" xfId="1" applyFill="1" applyBorder="1" applyAlignment="1">
      <alignment horizontal="center"/>
    </xf>
    <xf numFmtId="0" fontId="2" fillId="0" borderId="11" xfId="1" applyBorder="1" applyAlignment="1">
      <alignment horizontal="center"/>
    </xf>
    <xf numFmtId="0" fontId="2" fillId="0" borderId="39" xfId="1" applyBorder="1" applyAlignment="1">
      <alignment vertical="center"/>
    </xf>
    <xf numFmtId="0" fontId="2" fillId="2" borderId="11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2" fillId="0" borderId="7" xfId="1" applyBorder="1" applyAlignment="1">
      <alignment horizontal="center" vertical="center"/>
    </xf>
    <xf numFmtId="0" fontId="15" fillId="0" borderId="0" xfId="0" applyFont="1" applyAlignment="1">
      <alignment horizontal="left" wrapText="1"/>
    </xf>
    <xf numFmtId="0" fontId="2" fillId="0" borderId="49" xfId="1" applyBorder="1" applyAlignment="1">
      <alignment vertical="center"/>
    </xf>
    <xf numFmtId="0" fontId="21" fillId="4" borderId="50" xfId="0" applyFont="1" applyFill="1" applyBorder="1" applyAlignment="1">
      <alignment horizontal="center"/>
    </xf>
    <xf numFmtId="0" fontId="21" fillId="4" borderId="52" xfId="0" applyFont="1" applyFill="1" applyBorder="1" applyAlignment="1">
      <alignment horizontal="center"/>
    </xf>
    <xf numFmtId="0" fontId="2" fillId="7" borderId="9" xfId="1" applyFill="1" applyBorder="1" applyAlignment="1">
      <alignment horizontal="center"/>
    </xf>
    <xf numFmtId="0" fontId="2" fillId="0" borderId="0" xfId="1" applyAlignment="1">
      <alignment horizontal="left"/>
    </xf>
    <xf numFmtId="0" fontId="8" fillId="0" borderId="0" xfId="1" applyFont="1" applyAlignment="1">
      <alignment horizontal="left"/>
    </xf>
    <xf numFmtId="0" fontId="1" fillId="0" borderId="41" xfId="0" applyFont="1" applyBorder="1" applyAlignment="1">
      <alignment vertical="center"/>
    </xf>
    <xf numFmtId="0" fontId="19" fillId="0" borderId="0" xfId="1" applyFont="1"/>
    <xf numFmtId="0" fontId="5" fillId="0" borderId="0" xfId="1" applyFont="1"/>
    <xf numFmtId="0" fontId="24" fillId="0" borderId="0" xfId="1" applyFont="1"/>
    <xf numFmtId="0" fontId="2" fillId="0" borderId="35" xfId="1" applyBorder="1" applyAlignment="1">
      <alignment vertical="center"/>
    </xf>
    <xf numFmtId="0" fontId="2" fillId="0" borderId="54" xfId="1" applyBorder="1" applyAlignment="1">
      <alignment horizontal="center"/>
    </xf>
    <xf numFmtId="0" fontId="2" fillId="0" borderId="43" xfId="1" applyBorder="1" applyAlignment="1">
      <alignment horizontal="center" vertical="center"/>
    </xf>
    <xf numFmtId="0" fontId="2" fillId="0" borderId="56" xfId="1" applyBorder="1" applyAlignment="1">
      <alignment horizontal="center" vertical="center"/>
    </xf>
    <xf numFmtId="0" fontId="2" fillId="7" borderId="48" xfId="0" applyFont="1" applyFill="1" applyBorder="1" applyAlignment="1">
      <alignment horizontal="center"/>
    </xf>
    <xf numFmtId="0" fontId="2" fillId="0" borderId="58" xfId="1" applyBorder="1" applyAlignment="1">
      <alignment horizontal="center"/>
    </xf>
    <xf numFmtId="0" fontId="2" fillId="0" borderId="59" xfId="1" applyBorder="1" applyAlignment="1">
      <alignment horizontal="center" vertical="center"/>
    </xf>
    <xf numFmtId="0" fontId="6" fillId="0" borderId="7" xfId="1" applyFont="1" applyBorder="1" applyAlignment="1">
      <alignment horizontal="center" wrapText="1"/>
    </xf>
    <xf numFmtId="0" fontId="2" fillId="0" borderId="60" xfId="1" applyBorder="1" applyAlignment="1">
      <alignment horizontal="center" vertical="center"/>
    </xf>
    <xf numFmtId="0" fontId="25" fillId="0" borderId="0" xfId="1" applyFont="1" applyAlignment="1">
      <alignment horizontal="center"/>
    </xf>
    <xf numFmtId="0" fontId="27" fillId="0" borderId="0" xfId="1" applyFont="1" applyAlignment="1">
      <alignment horizontal="center"/>
    </xf>
    <xf numFmtId="0" fontId="8" fillId="0" borderId="0" xfId="1" quotePrefix="1" applyFont="1" applyAlignment="1">
      <alignment horizontal="left"/>
    </xf>
    <xf numFmtId="0" fontId="26" fillId="0" borderId="9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1" fillId="0" borderId="6" xfId="0" applyFont="1" applyBorder="1" applyAlignment="1">
      <alignment vertical="center" wrapText="1"/>
    </xf>
    <xf numFmtId="0" fontId="8" fillId="0" borderId="0" xfId="1" applyFont="1" applyAlignment="1">
      <alignment wrapText="1"/>
    </xf>
    <xf numFmtId="0" fontId="8" fillId="0" borderId="0" xfId="1" applyFont="1" applyAlignment="1">
      <alignment horizontal="center"/>
    </xf>
    <xf numFmtId="0" fontId="2" fillId="5" borderId="0" xfId="1" applyFill="1"/>
    <xf numFmtId="0" fontId="3" fillId="5" borderId="4" xfId="1" applyFont="1" applyFill="1" applyBorder="1" applyAlignment="1">
      <alignment horizontal="center"/>
    </xf>
    <xf numFmtId="0" fontId="3" fillId="5" borderId="9" xfId="1" applyFont="1" applyFill="1" applyBorder="1" applyAlignment="1">
      <alignment horizontal="center"/>
    </xf>
    <xf numFmtId="0" fontId="3" fillId="5" borderId="13" xfId="1" applyFont="1" applyFill="1" applyBorder="1" applyAlignment="1">
      <alignment horizontal="center"/>
    </xf>
    <xf numFmtId="0" fontId="2" fillId="5" borderId="4" xfId="1" applyFill="1" applyBorder="1" applyAlignment="1">
      <alignment horizontal="center"/>
    </xf>
    <xf numFmtId="0" fontId="2" fillId="5" borderId="9" xfId="1" applyFill="1" applyBorder="1" applyAlignment="1">
      <alignment horizontal="center"/>
    </xf>
    <xf numFmtId="0" fontId="2" fillId="5" borderId="13" xfId="1" applyFill="1" applyBorder="1" applyAlignment="1">
      <alignment horizontal="center"/>
    </xf>
    <xf numFmtId="0" fontId="31" fillId="0" borderId="0" xfId="0" applyFont="1" applyAlignment="1">
      <alignment vertical="center"/>
    </xf>
    <xf numFmtId="0" fontId="2" fillId="0" borderId="63" xfId="1" applyBorder="1"/>
    <xf numFmtId="0" fontId="32" fillId="0" borderId="63" xfId="1" applyFont="1" applyBorder="1"/>
    <xf numFmtId="0" fontId="8" fillId="0" borderId="66" xfId="1" applyFont="1" applyBorder="1"/>
    <xf numFmtId="0" fontId="8" fillId="0" borderId="67" xfId="1" applyFont="1" applyBorder="1"/>
    <xf numFmtId="0" fontId="2" fillId="0" borderId="0" xfId="1" quotePrefix="1" applyAlignment="1">
      <alignment horizontal="left" indent="1"/>
    </xf>
    <xf numFmtId="0" fontId="30" fillId="8" borderId="68" xfId="1" applyFont="1" applyFill="1" applyBorder="1" applyAlignment="1">
      <alignment horizontal="center" vertical="center"/>
    </xf>
    <xf numFmtId="0" fontId="28" fillId="0" borderId="41" xfId="0" applyFont="1" applyBorder="1" applyAlignment="1">
      <alignment horizontal="center" vertical="top"/>
    </xf>
    <xf numFmtId="0" fontId="10" fillId="2" borderId="8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 wrapText="1"/>
    </xf>
    <xf numFmtId="0" fontId="10" fillId="2" borderId="0" xfId="1" applyFont="1" applyFill="1" applyAlignment="1">
      <alignment horizontal="center" vertical="center" wrapText="1"/>
    </xf>
    <xf numFmtId="0" fontId="1" fillId="0" borderId="0" xfId="0" applyFont="1" applyAlignment="1">
      <alignment vertical="top"/>
    </xf>
    <xf numFmtId="0" fontId="2" fillId="0" borderId="0" xfId="1" applyAlignment="1">
      <alignment vertical="top"/>
    </xf>
    <xf numFmtId="0" fontId="2" fillId="0" borderId="0" xfId="1" applyAlignment="1">
      <alignment horizontal="left" vertical="top"/>
    </xf>
    <xf numFmtId="0" fontId="34" fillId="0" borderId="0" xfId="0" applyFont="1" applyAlignment="1">
      <alignment vertical="top"/>
    </xf>
    <xf numFmtId="0" fontId="27" fillId="0" borderId="0" xfId="1" applyFont="1" applyAlignment="1">
      <alignment vertical="top"/>
    </xf>
    <xf numFmtId="0" fontId="1" fillId="0" borderId="0" xfId="0" applyFont="1" applyAlignment="1">
      <alignment vertical="center" wrapText="1"/>
    </xf>
    <xf numFmtId="0" fontId="28" fillId="0" borderId="42" xfId="0" applyFont="1" applyBorder="1" applyAlignment="1">
      <alignment horizontal="center" vertical="top"/>
    </xf>
    <xf numFmtId="0" fontId="2" fillId="0" borderId="67" xfId="1" applyBorder="1"/>
    <xf numFmtId="0" fontId="7" fillId="0" borderId="1" xfId="1" applyFont="1" applyBorder="1" applyAlignment="1">
      <alignment horizontal="left" wrapText="1"/>
    </xf>
    <xf numFmtId="0" fontId="2" fillId="5" borderId="54" xfId="1" applyFill="1" applyBorder="1" applyAlignment="1">
      <alignment horizontal="center"/>
    </xf>
    <xf numFmtId="0" fontId="2" fillId="5" borderId="58" xfId="1" applyFill="1" applyBorder="1" applyAlignment="1">
      <alignment horizontal="center"/>
    </xf>
    <xf numFmtId="0" fontId="13" fillId="5" borderId="1" xfId="1" applyFont="1" applyFill="1" applyBorder="1" applyAlignment="1">
      <alignment horizontal="center"/>
    </xf>
    <xf numFmtId="0" fontId="2" fillId="5" borderId="19" xfId="1" applyFill="1" applyBorder="1" applyAlignment="1">
      <alignment horizontal="center"/>
    </xf>
    <xf numFmtId="0" fontId="2" fillId="5" borderId="28" xfId="1" applyFill="1" applyBorder="1" applyAlignment="1">
      <alignment horizontal="center"/>
    </xf>
    <xf numFmtId="0" fontId="2" fillId="5" borderId="50" xfId="0" applyFont="1" applyFill="1" applyBorder="1" applyAlignment="1">
      <alignment horizontal="center"/>
    </xf>
    <xf numFmtId="0" fontId="2" fillId="5" borderId="52" xfId="0" applyFont="1" applyFill="1" applyBorder="1" applyAlignment="1">
      <alignment horizontal="center"/>
    </xf>
    <xf numFmtId="0" fontId="2" fillId="5" borderId="48" xfId="0" applyFont="1" applyFill="1" applyBorder="1" applyAlignment="1">
      <alignment horizontal="center"/>
    </xf>
    <xf numFmtId="0" fontId="2" fillId="5" borderId="51" xfId="0" applyFont="1" applyFill="1" applyBorder="1" applyAlignment="1">
      <alignment horizontal="center"/>
    </xf>
    <xf numFmtId="0" fontId="5" fillId="0" borderId="0" xfId="1" applyFont="1" applyAlignment="1">
      <alignment horizontal="center" vertical="center"/>
    </xf>
    <xf numFmtId="0" fontId="19" fillId="0" borderId="14" xfId="1" applyFont="1" applyBorder="1" applyAlignment="1">
      <alignment horizontal="center"/>
    </xf>
    <xf numFmtId="0" fontId="5" fillId="0" borderId="2" xfId="1" applyFont="1" applyBorder="1"/>
    <xf numFmtId="0" fontId="19" fillId="0" borderId="77" xfId="1" applyFont="1" applyBorder="1"/>
    <xf numFmtId="0" fontId="2" fillId="0" borderId="78" xfId="1" applyBorder="1" applyAlignment="1">
      <alignment horizontal="left"/>
    </xf>
    <xf numFmtId="0" fontId="8" fillId="0" borderId="79" xfId="1" applyFont="1" applyBorder="1" applyAlignment="1">
      <alignment wrapText="1"/>
    </xf>
    <xf numFmtId="0" fontId="2" fillId="0" borderId="80" xfId="1" applyBorder="1"/>
    <xf numFmtId="0" fontId="8" fillId="0" borderId="82" xfId="1" applyFont="1" applyBorder="1"/>
    <xf numFmtId="0" fontId="19" fillId="0" borderId="83" xfId="1" applyFont="1" applyBorder="1" applyAlignment="1">
      <alignment horizontal="center"/>
    </xf>
    <xf numFmtId="0" fontId="8" fillId="0" borderId="78" xfId="1" applyFont="1" applyBorder="1" applyAlignment="1">
      <alignment horizontal="center"/>
    </xf>
    <xf numFmtId="0" fontId="2" fillId="0" borderId="85" xfId="1" applyBorder="1"/>
    <xf numFmtId="0" fontId="19" fillId="0" borderId="86" xfId="1" applyFont="1" applyBorder="1"/>
    <xf numFmtId="0" fontId="19" fillId="0" borderId="78" xfId="1" applyFont="1" applyBorder="1"/>
    <xf numFmtId="0" fontId="8" fillId="0" borderId="92" xfId="1" applyFont="1" applyBorder="1" applyAlignment="1">
      <alignment horizontal="center"/>
    </xf>
    <xf numFmtId="0" fontId="8" fillId="0" borderId="94" xfId="1" applyFont="1" applyBorder="1"/>
    <xf numFmtId="0" fontId="8" fillId="0" borderId="80" xfId="1" applyFont="1" applyBorder="1" applyAlignment="1">
      <alignment wrapText="1"/>
    </xf>
    <xf numFmtId="0" fontId="2" fillId="0" borderId="95" xfId="1" applyBorder="1"/>
    <xf numFmtId="0" fontId="29" fillId="8" borderId="98" xfId="1" applyFont="1" applyFill="1" applyBorder="1" applyAlignment="1">
      <alignment horizontal="center" vertical="center"/>
    </xf>
    <xf numFmtId="0" fontId="29" fillId="8" borderId="99" xfId="1" applyFont="1" applyFill="1" applyBorder="1" applyAlignment="1">
      <alignment horizontal="center" vertical="center"/>
    </xf>
    <xf numFmtId="0" fontId="28" fillId="0" borderId="78" xfId="0" applyFont="1" applyBorder="1" applyAlignment="1">
      <alignment vertical="top"/>
    </xf>
    <xf numFmtId="0" fontId="9" fillId="0" borderId="0" xfId="1" applyFont="1" applyAlignment="1">
      <alignment horizontal="center" vertical="center" wrapText="1"/>
    </xf>
    <xf numFmtId="0" fontId="2" fillId="0" borderId="98" xfId="1" applyBorder="1"/>
    <xf numFmtId="0" fontId="8" fillId="0" borderId="101" xfId="1" applyFont="1" applyBorder="1"/>
    <xf numFmtId="0" fontId="8" fillId="0" borderId="102" xfId="1" applyFont="1" applyBorder="1"/>
    <xf numFmtId="0" fontId="8" fillId="0" borderId="103" xfId="1" applyFont="1" applyBorder="1"/>
    <xf numFmtId="0" fontId="29" fillId="8" borderId="100" xfId="1" applyFont="1" applyFill="1" applyBorder="1" applyAlignment="1">
      <alignment horizontal="center" vertical="center"/>
    </xf>
    <xf numFmtId="0" fontId="29" fillId="8" borderId="104" xfId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9" fillId="8" borderId="105" xfId="1" applyFont="1" applyFill="1" applyBorder="1" applyAlignment="1">
      <alignment horizontal="center" vertical="center"/>
    </xf>
    <xf numFmtId="0" fontId="29" fillId="8" borderId="107" xfId="1" applyFont="1" applyFill="1" applyBorder="1" applyAlignment="1">
      <alignment horizontal="center" vertical="center"/>
    </xf>
    <xf numFmtId="0" fontId="29" fillId="8" borderId="106" xfId="1" applyFont="1" applyFill="1" applyBorder="1" applyAlignment="1">
      <alignment horizontal="center" vertical="center"/>
    </xf>
    <xf numFmtId="0" fontId="29" fillId="8" borderId="108" xfId="1" applyFont="1" applyFill="1" applyBorder="1" applyAlignment="1">
      <alignment horizontal="center" vertical="center"/>
    </xf>
    <xf numFmtId="0" fontId="29" fillId="8" borderId="111" xfId="1" applyFont="1" applyFill="1" applyBorder="1" applyAlignment="1">
      <alignment horizontal="center" vertical="center"/>
    </xf>
    <xf numFmtId="0" fontId="29" fillId="8" borderId="110" xfId="1" applyFont="1" applyFill="1" applyBorder="1" applyAlignment="1">
      <alignment horizontal="center" vertical="center"/>
    </xf>
    <xf numFmtId="0" fontId="29" fillId="8" borderId="112" xfId="1" applyFont="1" applyFill="1" applyBorder="1" applyAlignment="1">
      <alignment horizontal="center" vertical="center"/>
    </xf>
    <xf numFmtId="0" fontId="2" fillId="0" borderId="5" xfId="1" applyBorder="1" applyAlignment="1">
      <alignment horizontal="left"/>
    </xf>
    <xf numFmtId="0" fontId="29" fillId="8" borderId="114" xfId="1" applyFont="1" applyFill="1" applyBorder="1" applyAlignment="1">
      <alignment horizontal="center" vertical="center"/>
    </xf>
    <xf numFmtId="0" fontId="29" fillId="8" borderId="115" xfId="1" applyFont="1" applyFill="1" applyBorder="1" applyAlignment="1">
      <alignment horizontal="center" vertical="center"/>
    </xf>
    <xf numFmtId="0" fontId="29" fillId="8" borderId="116" xfId="1" applyFont="1" applyFill="1" applyBorder="1" applyAlignment="1">
      <alignment horizontal="center" vertical="center"/>
    </xf>
    <xf numFmtId="0" fontId="29" fillId="8" borderId="117" xfId="1" applyFont="1" applyFill="1" applyBorder="1" applyAlignment="1">
      <alignment horizontal="center" vertical="center"/>
    </xf>
    <xf numFmtId="0" fontId="2" fillId="0" borderId="0" xfId="0" applyFont="1"/>
    <xf numFmtId="0" fontId="2" fillId="0" borderId="120" xfId="0" applyFont="1" applyBorder="1"/>
    <xf numFmtId="0" fontId="2" fillId="0" borderId="121" xfId="0" applyFont="1" applyBorder="1"/>
    <xf numFmtId="0" fontId="2" fillId="0" borderId="123" xfId="0" applyFont="1" applyBorder="1"/>
    <xf numFmtId="0" fontId="2" fillId="0" borderId="122" xfId="0" applyFont="1" applyBorder="1"/>
    <xf numFmtId="0" fontId="8" fillId="0" borderId="119" xfId="0" applyFont="1" applyBorder="1"/>
    <xf numFmtId="0" fontId="2" fillId="0" borderId="120" xfId="0" applyFont="1" applyBorder="1" applyAlignment="1">
      <alignment wrapText="1"/>
    </xf>
    <xf numFmtId="0" fontId="2" fillId="0" borderId="0" xfId="0" applyFont="1" applyAlignment="1">
      <alignment wrapText="1"/>
    </xf>
    <xf numFmtId="0" fontId="38" fillId="0" borderId="14" xfId="1" applyFont="1" applyBorder="1" applyAlignment="1">
      <alignment horizontal="center"/>
    </xf>
    <xf numFmtId="0" fontId="3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0" fillId="0" borderId="4" xfId="1" applyFont="1" applyBorder="1" applyAlignment="1">
      <alignment horizontal="center" vertical="center"/>
    </xf>
    <xf numFmtId="0" fontId="20" fillId="0" borderId="5" xfId="1" applyFont="1" applyBorder="1" applyAlignment="1">
      <alignment horizontal="center" vertical="center"/>
    </xf>
    <xf numFmtId="0" fontId="2" fillId="0" borderId="9" xfId="1" applyBorder="1"/>
    <xf numFmtId="0" fontId="2" fillId="0" borderId="13" xfId="1" applyBorder="1"/>
    <xf numFmtId="0" fontId="2" fillId="0" borderId="15" xfId="1" applyBorder="1"/>
    <xf numFmtId="0" fontId="20" fillId="0" borderId="0" xfId="1" applyFont="1" applyAlignment="1">
      <alignment horizontal="center" vertical="center"/>
    </xf>
    <xf numFmtId="0" fontId="20" fillId="0" borderId="3" xfId="1" applyFont="1" applyBorder="1"/>
    <xf numFmtId="0" fontId="2" fillId="0" borderId="5" xfId="1" applyBorder="1"/>
    <xf numFmtId="0" fontId="20" fillId="0" borderId="1" xfId="1" applyFont="1" applyBorder="1"/>
    <xf numFmtId="0" fontId="20" fillId="0" borderId="6" xfId="1" applyFont="1" applyBorder="1"/>
    <xf numFmtId="0" fontId="2" fillId="0" borderId="18" xfId="1" applyBorder="1"/>
    <xf numFmtId="0" fontId="2" fillId="0" borderId="125" xfId="1" applyBorder="1"/>
    <xf numFmtId="0" fontId="2" fillId="0" borderId="106" xfId="1" applyBorder="1"/>
    <xf numFmtId="0" fontId="2" fillId="0" borderId="107" xfId="1" applyBorder="1"/>
    <xf numFmtId="0" fontId="2" fillId="0" borderId="113" xfId="1" applyBorder="1"/>
    <xf numFmtId="0" fontId="2" fillId="0" borderId="126" xfId="1" applyBorder="1"/>
    <xf numFmtId="0" fontId="2" fillId="0" borderId="127" xfId="1" quotePrefix="1" applyBorder="1"/>
    <xf numFmtId="0" fontId="2" fillId="0" borderId="108" xfId="1" applyBorder="1"/>
    <xf numFmtId="0" fontId="2" fillId="0" borderId="128" xfId="1" applyBorder="1"/>
    <xf numFmtId="0" fontId="2" fillId="0" borderId="112" xfId="1" applyBorder="1"/>
    <xf numFmtId="0" fontId="2" fillId="0" borderId="127" xfId="1" applyBorder="1"/>
    <xf numFmtId="0" fontId="1" fillId="0" borderId="1" xfId="0" applyFont="1" applyBorder="1" applyAlignment="1">
      <alignment vertical="center" wrapText="1"/>
    </xf>
    <xf numFmtId="0" fontId="1" fillId="0" borderId="129" xfId="0" applyFont="1" applyBorder="1" applyAlignment="1">
      <alignment vertical="center" wrapText="1"/>
    </xf>
    <xf numFmtId="0" fontId="1" fillId="0" borderId="130" xfId="0" applyFont="1" applyBorder="1" applyAlignment="1">
      <alignment vertical="center" wrapText="1"/>
    </xf>
    <xf numFmtId="0" fontId="0" fillId="0" borderId="15" xfId="0" applyBorder="1"/>
    <xf numFmtId="164" fontId="8" fillId="0" borderId="13" xfId="0" applyNumberFormat="1" applyFont="1" applyBorder="1"/>
    <xf numFmtId="0" fontId="8" fillId="0" borderId="14" xfId="0" applyFont="1" applyBorder="1"/>
    <xf numFmtId="0" fontId="2" fillId="0" borderId="6" xfId="0" applyFont="1" applyBorder="1"/>
    <xf numFmtId="0" fontId="0" fillId="0" borderId="6" xfId="0" applyBorder="1"/>
    <xf numFmtId="0" fontId="8" fillId="0" borderId="0" xfId="0" applyFont="1"/>
    <xf numFmtId="0" fontId="2" fillId="8" borderId="63" xfId="1" applyFill="1" applyBorder="1"/>
    <xf numFmtId="0" fontId="23" fillId="0" borderId="0" xfId="1" applyFont="1"/>
    <xf numFmtId="0" fontId="33" fillId="0" borderId="0" xfId="1" applyFont="1"/>
    <xf numFmtId="0" fontId="11" fillId="0" borderId="0" xfId="1" applyFont="1"/>
    <xf numFmtId="0" fontId="29" fillId="8" borderId="0" xfId="1" applyFont="1" applyFill="1"/>
    <xf numFmtId="0" fontId="2" fillId="0" borderId="4" xfId="1" applyBorder="1"/>
    <xf numFmtId="0" fontId="23" fillId="0" borderId="5" xfId="1" applyFont="1" applyBorder="1"/>
    <xf numFmtId="0" fontId="8" fillId="0" borderId="9" xfId="1" applyFont="1" applyBorder="1"/>
    <xf numFmtId="0" fontId="2" fillId="0" borderId="10" xfId="1" quotePrefix="1" applyBorder="1"/>
    <xf numFmtId="0" fontId="2" fillId="0" borderId="132" xfId="1" applyBorder="1"/>
    <xf numFmtId="0" fontId="2" fillId="0" borderId="133" xfId="1" applyBorder="1"/>
    <xf numFmtId="0" fontId="2" fillId="0" borderId="109" xfId="1" applyBorder="1"/>
    <xf numFmtId="0" fontId="2" fillId="0" borderId="104" xfId="1" quotePrefix="1" applyBorder="1"/>
    <xf numFmtId="0" fontId="2" fillId="0" borderId="134" xfId="1" quotePrefix="1" applyBorder="1"/>
    <xf numFmtId="0" fontId="2" fillId="0" borderId="111" xfId="1" applyBorder="1"/>
    <xf numFmtId="0" fontId="42" fillId="0" borderId="5" xfId="1" applyFont="1" applyBorder="1"/>
    <xf numFmtId="0" fontId="43" fillId="0" borderId="1" xfId="0" applyFont="1" applyBorder="1" applyAlignment="1">
      <alignment horizontal="center" vertical="center"/>
    </xf>
    <xf numFmtId="0" fontId="2" fillId="0" borderId="95" xfId="1" applyBorder="1" applyAlignment="1">
      <alignment vertical="top"/>
    </xf>
    <xf numFmtId="0" fontId="29" fillId="8" borderId="128" xfId="1" applyFont="1" applyFill="1" applyBorder="1" applyAlignment="1">
      <alignment horizontal="center" vertical="center"/>
    </xf>
    <xf numFmtId="0" fontId="1" fillId="0" borderId="138" xfId="0" applyFont="1" applyBorder="1" applyAlignment="1">
      <alignment vertical="center"/>
    </xf>
    <xf numFmtId="0" fontId="28" fillId="0" borderId="86" xfId="0" applyFont="1" applyBorder="1" applyAlignment="1">
      <alignment horizontal="center" vertical="top"/>
    </xf>
    <xf numFmtId="0" fontId="1" fillId="0" borderId="3" xfId="0" applyFont="1" applyBorder="1" applyAlignment="1">
      <alignment vertical="center" wrapText="1"/>
    </xf>
    <xf numFmtId="0" fontId="1" fillId="0" borderId="84" xfId="0" applyFont="1" applyBorder="1" applyAlignment="1">
      <alignment horizontal="left" vertical="center"/>
    </xf>
    <xf numFmtId="0" fontId="36" fillId="0" borderId="116" xfId="0" applyFont="1" applyBorder="1" applyAlignment="1">
      <alignment horizontal="left" vertical="center"/>
    </xf>
    <xf numFmtId="0" fontId="2" fillId="0" borderId="116" xfId="1" applyBorder="1" applyAlignment="1">
      <alignment horizontal="left"/>
    </xf>
    <xf numFmtId="0" fontId="2" fillId="0" borderId="117" xfId="1" applyBorder="1" applyAlignment="1">
      <alignment horizontal="left"/>
    </xf>
    <xf numFmtId="0" fontId="2" fillId="0" borderId="118" xfId="1" applyBorder="1" applyAlignment="1">
      <alignment horizontal="left"/>
    </xf>
    <xf numFmtId="0" fontId="35" fillId="0" borderId="116" xfId="1" quotePrefix="1" applyFont="1" applyBorder="1" applyAlignment="1">
      <alignment horizontal="left"/>
    </xf>
    <xf numFmtId="0" fontId="29" fillId="8" borderId="139" xfId="1" applyFont="1" applyFill="1" applyBorder="1" applyAlignment="1">
      <alignment horizontal="center" vertical="center"/>
    </xf>
    <xf numFmtId="0" fontId="29" fillId="8" borderId="140" xfId="1" applyFont="1" applyFill="1" applyBorder="1" applyAlignment="1">
      <alignment horizontal="center" vertical="center"/>
    </xf>
    <xf numFmtId="0" fontId="29" fillId="8" borderId="141" xfId="1" applyFont="1" applyFill="1" applyBorder="1" applyAlignment="1">
      <alignment horizontal="center" vertical="center"/>
    </xf>
    <xf numFmtId="0" fontId="29" fillId="8" borderId="142" xfId="1" applyFont="1" applyFill="1" applyBorder="1" applyAlignment="1">
      <alignment horizontal="center" vertical="center"/>
    </xf>
    <xf numFmtId="0" fontId="29" fillId="8" borderId="143" xfId="1" applyFont="1" applyFill="1" applyBorder="1" applyAlignment="1">
      <alignment horizontal="center" vertical="center"/>
    </xf>
    <xf numFmtId="0" fontId="29" fillId="8" borderId="144" xfId="1" applyFont="1" applyFill="1" applyBorder="1" applyAlignment="1">
      <alignment horizontal="center" vertical="center"/>
    </xf>
    <xf numFmtId="0" fontId="2" fillId="0" borderId="2" xfId="1" applyBorder="1"/>
    <xf numFmtId="0" fontId="30" fillId="8" borderId="106" xfId="1" applyFont="1" applyFill="1" applyBorder="1" applyAlignment="1">
      <alignment horizontal="center" vertical="center"/>
    </xf>
    <xf numFmtId="0" fontId="8" fillId="0" borderId="145" xfId="1" applyFont="1" applyBorder="1"/>
    <xf numFmtId="0" fontId="29" fillId="8" borderId="146" xfId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vertical="center" wrapText="1"/>
    </xf>
    <xf numFmtId="0" fontId="20" fillId="0" borderId="94" xfId="1" applyFont="1" applyBorder="1" applyAlignment="1">
      <alignment horizontal="center"/>
    </xf>
    <xf numFmtId="0" fontId="2" fillId="0" borderId="0" xfId="1" applyAlignment="1">
      <alignment horizontal="left" wrapText="1"/>
    </xf>
    <xf numFmtId="0" fontId="2" fillId="0" borderId="78" xfId="1" applyBorder="1" applyAlignment="1">
      <alignment horizontal="left" wrapText="1"/>
    </xf>
    <xf numFmtId="0" fontId="8" fillId="0" borderId="54" xfId="1" applyFont="1" applyBorder="1" applyAlignment="1">
      <alignment horizontal="center"/>
    </xf>
    <xf numFmtId="0" fontId="8" fillId="0" borderId="87" xfId="1" applyFont="1" applyBorder="1" applyAlignment="1">
      <alignment horizontal="center"/>
    </xf>
    <xf numFmtId="0" fontId="8" fillId="0" borderId="42" xfId="1" applyFont="1" applyBorder="1" applyAlignment="1">
      <alignment horizontal="center"/>
    </xf>
    <xf numFmtId="0" fontId="8" fillId="0" borderId="69" xfId="1" applyFont="1" applyBorder="1" applyAlignment="1">
      <alignment horizontal="center"/>
    </xf>
    <xf numFmtId="0" fontId="44" fillId="8" borderId="64" xfId="1" applyFont="1" applyFill="1" applyBorder="1" applyAlignment="1">
      <alignment horizontal="center"/>
    </xf>
    <xf numFmtId="0" fontId="44" fillId="8" borderId="88" xfId="1" applyFont="1" applyFill="1" applyBorder="1" applyAlignment="1">
      <alignment horizontal="center"/>
    </xf>
    <xf numFmtId="0" fontId="44" fillId="8" borderId="65" xfId="1" applyFont="1" applyFill="1" applyBorder="1" applyAlignment="1">
      <alignment horizontal="center"/>
    </xf>
    <xf numFmtId="0" fontId="8" fillId="0" borderId="67" xfId="1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30" fillId="8" borderId="5" xfId="1" applyFont="1" applyFill="1" applyBorder="1" applyAlignment="1">
      <alignment horizontal="center" vertical="center"/>
    </xf>
    <xf numFmtId="0" fontId="30" fillId="8" borderId="91" xfId="1" applyFont="1" applyFill="1" applyBorder="1" applyAlignment="1">
      <alignment horizontal="center" vertical="center"/>
    </xf>
    <xf numFmtId="0" fontId="30" fillId="8" borderId="90" xfId="1" applyFont="1" applyFill="1" applyBorder="1" applyAlignment="1">
      <alignment horizontal="center" vertical="center" wrapText="1"/>
    </xf>
    <xf numFmtId="0" fontId="30" fillId="8" borderId="91" xfId="1" applyFont="1" applyFill="1" applyBorder="1" applyAlignment="1">
      <alignment horizontal="center" vertical="center" wrapText="1"/>
    </xf>
    <xf numFmtId="0" fontId="30" fillId="8" borderId="90" xfId="1" applyFont="1" applyFill="1" applyBorder="1" applyAlignment="1">
      <alignment horizontal="center" vertical="center"/>
    </xf>
    <xf numFmtId="0" fontId="2" fillId="0" borderId="137" xfId="1" applyBorder="1" applyAlignment="1">
      <alignment horizontal="left" vertical="top" wrapText="1"/>
    </xf>
    <xf numFmtId="0" fontId="2" fillId="0" borderId="80" xfId="1" applyBorder="1" applyAlignment="1">
      <alignment horizontal="left" vertical="top" wrapText="1"/>
    </xf>
    <xf numFmtId="0" fontId="2" fillId="0" borderId="136" xfId="1" applyBorder="1" applyAlignment="1">
      <alignment horizontal="left" vertical="top" wrapText="1"/>
    </xf>
    <xf numFmtId="0" fontId="2" fillId="0" borderId="96" xfId="1" applyBorder="1" applyAlignment="1">
      <alignment horizontal="left" vertical="top" wrapText="1"/>
    </xf>
    <xf numFmtId="0" fontId="2" fillId="0" borderId="14" xfId="1" applyBorder="1" applyAlignment="1">
      <alignment horizontal="left" vertical="top" wrapText="1"/>
    </xf>
    <xf numFmtId="0" fontId="2" fillId="0" borderId="83" xfId="1" applyBorder="1" applyAlignment="1">
      <alignment horizontal="left" vertical="top" wrapText="1"/>
    </xf>
    <xf numFmtId="0" fontId="30" fillId="8" borderId="93" xfId="1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center" wrapText="1"/>
    </xf>
    <xf numFmtId="0" fontId="8" fillId="0" borderId="2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1" xfId="1" applyFont="1" applyBorder="1" applyAlignment="1">
      <alignment horizontal="center" wrapText="1"/>
    </xf>
    <xf numFmtId="0" fontId="8" fillId="0" borderId="84" xfId="1" applyFont="1" applyBorder="1" applyAlignment="1">
      <alignment horizontal="center"/>
    </xf>
    <xf numFmtId="0" fontId="30" fillId="8" borderId="97" xfId="1" applyFont="1" applyFill="1" applyBorder="1" applyAlignment="1">
      <alignment horizontal="center" vertical="center"/>
    </xf>
    <xf numFmtId="0" fontId="30" fillId="8" borderId="89" xfId="1" applyFont="1" applyFill="1" applyBorder="1" applyAlignment="1">
      <alignment horizontal="center" vertical="center"/>
    </xf>
    <xf numFmtId="0" fontId="30" fillId="8" borderId="81" xfId="1" applyFont="1" applyFill="1" applyBorder="1" applyAlignment="1">
      <alignment horizontal="center" vertical="center"/>
    </xf>
    <xf numFmtId="0" fontId="30" fillId="8" borderId="135" xfId="1" applyFont="1" applyFill="1" applyBorder="1" applyAlignment="1">
      <alignment horizontal="center" vertical="center"/>
    </xf>
    <xf numFmtId="0" fontId="30" fillId="8" borderId="2" xfId="1" applyFont="1" applyFill="1" applyBorder="1" applyAlignment="1">
      <alignment horizontal="center" vertical="center"/>
    </xf>
    <xf numFmtId="0" fontId="30" fillId="8" borderId="84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  <xf numFmtId="0" fontId="20" fillId="0" borderId="1" xfId="1" applyFont="1" applyBorder="1" applyAlignment="1">
      <alignment horizontal="center" vertical="center"/>
    </xf>
    <xf numFmtId="0" fontId="20" fillId="0" borderId="3" xfId="1" applyFont="1" applyBorder="1" applyAlignment="1">
      <alignment horizontal="center" vertical="center"/>
    </xf>
    <xf numFmtId="0" fontId="1" fillId="0" borderId="124" xfId="0" applyFont="1" applyBorder="1" applyAlignment="1">
      <alignment horizontal="center" vertical="center" wrapText="1"/>
    </xf>
    <xf numFmtId="0" fontId="41" fillId="0" borderId="131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0" fillId="0" borderId="93" xfId="0" applyFont="1" applyBorder="1" applyAlignment="1">
      <alignment horizontal="center" vertical="center"/>
    </xf>
    <xf numFmtId="0" fontId="40" fillId="0" borderId="95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78" xfId="0" applyFont="1" applyBorder="1" applyAlignment="1">
      <alignment horizontal="center" vertical="center"/>
    </xf>
    <xf numFmtId="0" fontId="40" fillId="0" borderId="96" xfId="0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0" fontId="40" fillId="0" borderId="83" xfId="0" applyFont="1" applyBorder="1" applyAlignment="1">
      <alignment horizontal="center" vertical="center"/>
    </xf>
    <xf numFmtId="0" fontId="2" fillId="0" borderId="0" xfId="1" applyAlignment="1">
      <alignment horizontal="center" wrapText="1"/>
    </xf>
    <xf numFmtId="0" fontId="22" fillId="0" borderId="0" xfId="1" applyFont="1" applyAlignment="1">
      <alignment horizontal="center"/>
    </xf>
    <xf numFmtId="0" fontId="2" fillId="0" borderId="0" xfId="1" applyAlignment="1">
      <alignment horizontal="center"/>
    </xf>
    <xf numFmtId="0" fontId="8" fillId="0" borderId="0" xfId="1" applyFont="1" applyAlignment="1">
      <alignment horizontal="center" wrapText="1"/>
    </xf>
    <xf numFmtId="0" fontId="5" fillId="0" borderId="53" xfId="1" applyFont="1" applyBorder="1" applyAlignment="1">
      <alignment horizontal="center" vertical="center"/>
    </xf>
    <xf numFmtId="0" fontId="5" fillId="0" borderId="55" xfId="1" applyFont="1" applyBorder="1" applyAlignment="1">
      <alignment horizontal="center" vertical="center"/>
    </xf>
    <xf numFmtId="0" fontId="5" fillId="0" borderId="57" xfId="1" applyFont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5" borderId="9" xfId="1" applyFill="1" applyBorder="1" applyAlignment="1">
      <alignment horizontal="center" vertical="center"/>
    </xf>
    <xf numFmtId="0" fontId="2" fillId="5" borderId="13" xfId="1" applyFill="1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2" fillId="0" borderId="15" xfId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2" fillId="5" borderId="23" xfId="1" applyFill="1" applyBorder="1" applyAlignment="1">
      <alignment horizontal="center" vertical="center"/>
    </xf>
    <xf numFmtId="0" fontId="2" fillId="5" borderId="28" xfId="1" applyFill="1" applyBorder="1" applyAlignment="1">
      <alignment horizontal="center" vertical="center"/>
    </xf>
    <xf numFmtId="0" fontId="2" fillId="2" borderId="25" xfId="1" applyFill="1" applyBorder="1" applyAlignment="1">
      <alignment horizontal="center" vertical="center"/>
    </xf>
    <xf numFmtId="0" fontId="2" fillId="2" borderId="29" xfId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10" fillId="2" borderId="9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center" vertical="center" wrapText="1"/>
    </xf>
    <xf numFmtId="0" fontId="2" fillId="0" borderId="22" xfId="1" applyBorder="1" applyAlignment="1">
      <alignment horizontal="center" vertical="center"/>
    </xf>
    <xf numFmtId="0" fontId="2" fillId="0" borderId="23" xfId="1" applyBorder="1" applyAlignment="1">
      <alignment horizontal="center" vertical="center"/>
    </xf>
    <xf numFmtId="0" fontId="2" fillId="0" borderId="28" xfId="1" applyBorder="1" applyAlignment="1">
      <alignment horizontal="center" vertical="center"/>
    </xf>
    <xf numFmtId="0" fontId="2" fillId="0" borderId="21" xfId="1" applyBorder="1" applyAlignment="1">
      <alignment horizontal="center" vertical="center"/>
    </xf>
    <xf numFmtId="0" fontId="2" fillId="0" borderId="25" xfId="1" applyBorder="1" applyAlignment="1">
      <alignment horizontal="center" vertical="center"/>
    </xf>
    <xf numFmtId="0" fontId="2" fillId="0" borderId="29" xfId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2" fillId="0" borderId="13" xfId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2" fillId="0" borderId="26" xfId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2" fillId="2" borderId="10" xfId="1" applyFill="1" applyBorder="1" applyAlignment="1">
      <alignment horizontal="center" vertical="center"/>
    </xf>
    <xf numFmtId="0" fontId="2" fillId="2" borderId="15" xfId="1" applyFill="1" applyBorder="1" applyAlignment="1">
      <alignment horizontal="center" vertical="center"/>
    </xf>
    <xf numFmtId="0" fontId="2" fillId="2" borderId="23" xfId="1" applyFill="1" applyBorder="1" applyAlignment="1">
      <alignment horizontal="center" vertical="center"/>
    </xf>
    <xf numFmtId="0" fontId="2" fillId="5" borderId="4" xfId="1" applyFill="1" applyBorder="1" applyAlignment="1">
      <alignment horizontal="center" vertical="center"/>
    </xf>
    <xf numFmtId="0" fontId="2" fillId="2" borderId="5" xfId="1" applyFill="1" applyBorder="1" applyAlignment="1">
      <alignment horizontal="center" vertical="center"/>
    </xf>
    <xf numFmtId="0" fontId="2" fillId="2" borderId="0" xfId="1" applyFill="1" applyAlignment="1">
      <alignment horizontal="center" vertical="center"/>
    </xf>
    <xf numFmtId="0" fontId="2" fillId="6" borderId="23" xfId="1" applyFill="1" applyBorder="1" applyAlignment="1">
      <alignment horizontal="center" vertical="center"/>
    </xf>
    <xf numFmtId="0" fontId="2" fillId="0" borderId="43" xfId="1" applyBorder="1" applyAlignment="1">
      <alignment horizontal="center" vertical="center"/>
    </xf>
    <xf numFmtId="0" fontId="2" fillId="0" borderId="48" xfId="1" applyBorder="1" applyAlignment="1">
      <alignment horizontal="center" vertical="center"/>
    </xf>
    <xf numFmtId="0" fontId="2" fillId="0" borderId="46" xfId="1" applyBorder="1" applyAlignment="1">
      <alignment horizontal="center" vertical="center"/>
    </xf>
    <xf numFmtId="0" fontId="10" fillId="2" borderId="47" xfId="1" applyFont="1" applyFill="1" applyBorder="1" applyAlignment="1">
      <alignment horizontal="center" vertical="center" wrapText="1"/>
    </xf>
    <xf numFmtId="0" fontId="10" fillId="2" borderId="48" xfId="1" applyFont="1" applyFill="1" applyBorder="1" applyAlignment="1">
      <alignment horizontal="center" vertical="center" wrapText="1"/>
    </xf>
    <xf numFmtId="0" fontId="10" fillId="2" borderId="44" xfId="1" applyFont="1" applyFill="1" applyBorder="1" applyAlignment="1">
      <alignment horizontal="center" vertical="center" wrapText="1"/>
    </xf>
    <xf numFmtId="0" fontId="10" fillId="2" borderId="46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/>
    </xf>
    <xf numFmtId="0" fontId="8" fillId="2" borderId="61" xfId="1" applyFont="1" applyFill="1" applyBorder="1" applyAlignment="1">
      <alignment horizontal="center" vertical="center"/>
    </xf>
    <xf numFmtId="0" fontId="8" fillId="2" borderId="62" xfId="1" applyFont="1" applyFill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2" fillId="5" borderId="19" xfId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12" fillId="2" borderId="2" xfId="1" applyFont="1" applyFill="1" applyBorder="1" applyAlignment="1">
      <alignment horizontal="center" vertical="center" wrapText="1"/>
    </xf>
    <xf numFmtId="0" fontId="12" fillId="2" borderId="5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5" fillId="0" borderId="41" xfId="1" applyFont="1" applyBorder="1" applyAlignment="1">
      <alignment horizontal="center" vertical="center"/>
    </xf>
    <xf numFmtId="0" fontId="5" fillId="0" borderId="47" xfId="1" applyFont="1" applyBorder="1" applyAlignment="1">
      <alignment horizontal="center" vertical="center"/>
    </xf>
    <xf numFmtId="0" fontId="5" fillId="0" borderId="70" xfId="1" applyFont="1" applyBorder="1" applyAlignment="1">
      <alignment horizontal="center" vertical="center"/>
    </xf>
    <xf numFmtId="0" fontId="2" fillId="5" borderId="54" xfId="1" applyFill="1" applyBorder="1" applyAlignment="1">
      <alignment horizontal="center" vertical="center"/>
    </xf>
    <xf numFmtId="0" fontId="2" fillId="0" borderId="69" xfId="1" applyBorder="1" applyAlignment="1">
      <alignment horizontal="center" vertical="center"/>
    </xf>
    <xf numFmtId="0" fontId="2" fillId="5" borderId="73" xfId="1" applyFill="1" applyBorder="1" applyAlignment="1">
      <alignment horizontal="center" vertical="center"/>
    </xf>
    <xf numFmtId="0" fontId="2" fillId="5" borderId="11" xfId="1" applyFill="1" applyBorder="1" applyAlignment="1">
      <alignment horizontal="center" vertical="center"/>
    </xf>
    <xf numFmtId="0" fontId="2" fillId="5" borderId="40" xfId="1" applyFill="1" applyBorder="1" applyAlignment="1">
      <alignment horizontal="center" vertical="center"/>
    </xf>
    <xf numFmtId="0" fontId="2" fillId="0" borderId="73" xfId="1" applyBorder="1" applyAlignment="1">
      <alignment horizontal="center" vertical="center"/>
    </xf>
    <xf numFmtId="0" fontId="2" fillId="0" borderId="11" xfId="1" applyBorder="1" applyAlignment="1">
      <alignment horizontal="center" vertical="center"/>
    </xf>
    <xf numFmtId="0" fontId="2" fillId="0" borderId="40" xfId="1" applyBorder="1" applyAlignment="1">
      <alignment horizontal="center" vertical="center"/>
    </xf>
    <xf numFmtId="0" fontId="2" fillId="5" borderId="58" xfId="1" applyFill="1" applyBorder="1" applyAlignment="1">
      <alignment horizontal="center" vertical="center"/>
    </xf>
    <xf numFmtId="0" fontId="2" fillId="0" borderId="16" xfId="1" applyBorder="1" applyAlignment="1">
      <alignment horizontal="center" vertical="center"/>
    </xf>
    <xf numFmtId="0" fontId="2" fillId="0" borderId="17" xfId="1" applyBorder="1" applyAlignment="1">
      <alignment horizontal="center" vertical="center"/>
    </xf>
    <xf numFmtId="0" fontId="2" fillId="5" borderId="71" xfId="1" applyFill="1" applyBorder="1" applyAlignment="1">
      <alignment horizontal="center" vertical="center"/>
    </xf>
    <xf numFmtId="0" fontId="2" fillId="5" borderId="10" xfId="1" applyFill="1" applyBorder="1" applyAlignment="1">
      <alignment horizontal="center" vertical="center"/>
    </xf>
    <xf numFmtId="0" fontId="2" fillId="5" borderId="75" xfId="1" applyFill="1" applyBorder="1" applyAlignment="1">
      <alignment horizontal="center" vertical="center"/>
    </xf>
    <xf numFmtId="0" fontId="2" fillId="0" borderId="72" xfId="1" applyBorder="1" applyAlignment="1">
      <alignment horizontal="center" vertical="center"/>
    </xf>
    <xf numFmtId="0" fontId="2" fillId="0" borderId="76" xfId="1" applyBorder="1" applyAlignment="1">
      <alignment horizontal="center" vertical="center"/>
    </xf>
    <xf numFmtId="0" fontId="37" fillId="2" borderId="74" xfId="1" applyFont="1" applyFill="1" applyBorder="1" applyAlignment="1">
      <alignment horizontal="center" vertical="center"/>
    </xf>
    <xf numFmtId="0" fontId="5" fillId="2" borderId="55" xfId="1" applyFont="1" applyFill="1" applyBorder="1" applyAlignment="1">
      <alignment horizontal="center" vertical="center"/>
    </xf>
    <xf numFmtId="0" fontId="5" fillId="2" borderId="57" xfId="1" applyFont="1" applyFill="1" applyBorder="1" applyAlignment="1">
      <alignment horizontal="center" vertical="center"/>
    </xf>
    <xf numFmtId="0" fontId="2" fillId="2" borderId="45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/>
    </xf>
    <xf numFmtId="0" fontId="2" fillId="5" borderId="4" xfId="1" applyFill="1" applyBorder="1" applyAlignment="1">
      <alignment horizontal="center" vertical="center" wrapText="1"/>
    </xf>
    <xf numFmtId="0" fontId="2" fillId="5" borderId="9" xfId="1" applyFill="1" applyBorder="1" applyAlignment="1">
      <alignment horizontal="center" vertical="center" wrapText="1"/>
    </xf>
    <xf numFmtId="0" fontId="2" fillId="5" borderId="13" xfId="1" applyFill="1" applyBorder="1" applyAlignment="1">
      <alignment horizontal="center" vertical="center" wrapText="1"/>
    </xf>
    <xf numFmtId="0" fontId="2" fillId="0" borderId="8" xfId="1" applyBorder="1" applyAlignment="1">
      <alignment horizontal="center" vertical="center"/>
    </xf>
    <xf numFmtId="0" fontId="2" fillId="6" borderId="9" xfId="1" applyFill="1" applyBorder="1" applyAlignment="1">
      <alignment horizontal="center" vertical="center"/>
    </xf>
    <xf numFmtId="0" fontId="2" fillId="6" borderId="13" xfId="1" applyFill="1" applyBorder="1" applyAlignment="1">
      <alignment horizontal="center" vertical="center"/>
    </xf>
    <xf numFmtId="0" fontId="2" fillId="6" borderId="4" xfId="1" applyFill="1" applyBorder="1" applyAlignment="1">
      <alignment horizontal="center" vertical="center"/>
    </xf>
  </cellXfs>
  <cellStyles count="2">
    <cellStyle name="Normal" xfId="0" builtinId="0"/>
    <cellStyle name="Normal 2" xfId="1" xr:uid="{9BB26C3B-0543-4812-B060-FC2B05141D43}"/>
  </cellStyles>
  <dxfs count="0"/>
  <tableStyles count="0" defaultTableStyle="TableStyleMedium2" defaultPivotStyle="PivotStyleLight16"/>
  <colors>
    <mruColors>
      <color rgb="FFF5A9E8"/>
      <color rgb="FF955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C33A-6C7D-438E-A941-8FFDF3B2848B}">
  <dimension ref="B2:F11"/>
  <sheetViews>
    <sheetView workbookViewId="0">
      <selection activeCell="E4" sqref="E4"/>
    </sheetView>
  </sheetViews>
  <sheetFormatPr defaultRowHeight="12.75" x14ac:dyDescent="0.2"/>
  <cols>
    <col min="3" max="3" width="32.42578125" customWidth="1"/>
    <col min="4" max="4" width="40.42578125" customWidth="1"/>
    <col min="5" max="5" width="78.28515625" customWidth="1"/>
  </cols>
  <sheetData>
    <row r="2" spans="2:6" ht="13.5" thickBot="1" x14ac:dyDescent="0.25">
      <c r="C2" s="206" t="s">
        <v>0</v>
      </c>
    </row>
    <row r="3" spans="2:6" ht="14.25" thickTop="1" thickBot="1" x14ac:dyDescent="0.25">
      <c r="C3" s="171" t="s">
        <v>1</v>
      </c>
      <c r="D3" s="171" t="s">
        <v>2</v>
      </c>
      <c r="E3" s="171" t="s">
        <v>3</v>
      </c>
    </row>
    <row r="4" spans="2:6" ht="27" thickTop="1" thickBot="1" x14ac:dyDescent="0.25">
      <c r="C4" s="168" t="s">
        <v>4</v>
      </c>
      <c r="D4" s="167" t="s">
        <v>5</v>
      </c>
      <c r="E4" s="172" t="s">
        <v>6</v>
      </c>
    </row>
    <row r="5" spans="2:6" ht="27" thickTop="1" thickBot="1" x14ac:dyDescent="0.25">
      <c r="C5" s="170" t="s">
        <v>5</v>
      </c>
      <c r="D5" s="169" t="s">
        <v>4</v>
      </c>
      <c r="E5" s="172" t="s">
        <v>7</v>
      </c>
    </row>
    <row r="8" spans="2:6" ht="13.5" thickBot="1" x14ac:dyDescent="0.25">
      <c r="C8" s="173"/>
      <c r="D8" s="166"/>
      <c r="E8" s="166"/>
      <c r="F8" s="166"/>
    </row>
    <row r="9" spans="2:6" ht="13.5" thickBot="1" x14ac:dyDescent="0.25">
      <c r="C9" s="204" t="s">
        <v>8</v>
      </c>
      <c r="D9" s="205"/>
      <c r="E9" s="205"/>
    </row>
    <row r="10" spans="2:6" ht="13.5" thickBot="1" x14ac:dyDescent="0.25">
      <c r="B10" s="166"/>
      <c r="C10" s="202">
        <v>1</v>
      </c>
      <c r="D10" s="203" t="s">
        <v>9</v>
      </c>
      <c r="E10" s="201"/>
    </row>
    <row r="11" spans="2:6" x14ac:dyDescent="0.2">
      <c r="B11" s="16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94CA-88E0-47B0-BCBB-F974E5FCEF2B}">
  <dimension ref="A1:AP1048303"/>
  <sheetViews>
    <sheetView tabSelected="1" topLeftCell="A38" zoomScale="85" zoomScaleNormal="85" workbookViewId="0">
      <selection activeCell="F53" sqref="F53"/>
    </sheetView>
  </sheetViews>
  <sheetFormatPr defaultColWidth="9.28515625" defaultRowHeight="12.75" customHeight="1" x14ac:dyDescent="0.2"/>
  <cols>
    <col min="1" max="1" width="10.7109375" style="4" customWidth="1"/>
    <col min="2" max="2" width="21.7109375" style="2" customWidth="1"/>
    <col min="3" max="3" width="8.42578125" style="2" customWidth="1"/>
    <col min="4" max="4" width="7.28515625" style="2" customWidth="1"/>
    <col min="5" max="5" width="8.42578125" style="2" customWidth="1"/>
    <col min="6" max="6" width="9.28515625" style="2" customWidth="1"/>
    <col min="7" max="7" width="8.7109375" style="2" customWidth="1"/>
    <col min="8" max="8" width="11.85546875" style="2" customWidth="1"/>
    <col min="9" max="9" width="10.85546875" style="76" customWidth="1"/>
    <col min="10" max="10" width="14.85546875" style="61" customWidth="1"/>
    <col min="11" max="11" width="13.7109375" style="2" customWidth="1"/>
    <col min="12" max="12" width="13.5703125" style="2" customWidth="1"/>
    <col min="13" max="13" width="13.7109375" style="2" customWidth="1"/>
    <col min="14" max="14" width="12.85546875" style="2" customWidth="1"/>
    <col min="15" max="15" width="14" style="2" customWidth="1"/>
    <col min="16" max="16" width="12.5703125" style="2" customWidth="1"/>
    <col min="17" max="17" width="13.140625" style="2" customWidth="1"/>
    <col min="18" max="18" width="13.42578125" style="2" customWidth="1"/>
    <col min="19" max="19" width="14.28515625" style="2" customWidth="1"/>
    <col min="20" max="20" width="13.28515625" style="2" customWidth="1"/>
    <col min="21" max="21" width="13" style="2" customWidth="1"/>
    <col min="22" max="22" width="12.85546875" style="2" customWidth="1"/>
    <col min="23" max="24" width="13.5703125" style="2" customWidth="1"/>
    <col min="25" max="25" width="12.7109375" style="2" customWidth="1"/>
    <col min="26" max="26" width="12.42578125" style="2" customWidth="1"/>
    <col min="27" max="27" width="14" style="2" customWidth="1"/>
    <col min="28" max="28" width="13.28515625" style="2" customWidth="1"/>
    <col min="29" max="29" width="13.5703125" style="2" customWidth="1"/>
    <col min="30" max="30" width="12.28515625" style="2" customWidth="1"/>
    <col min="31" max="31" width="13.5703125" style="2" customWidth="1"/>
    <col min="32" max="32" width="12" style="2" customWidth="1"/>
    <col min="33" max="33" width="11.7109375" style="2" customWidth="1"/>
    <col min="34" max="34" width="12.85546875" style="2" customWidth="1"/>
    <col min="35" max="39" width="9.28515625" style="2"/>
    <col min="40" max="40" width="12" style="2" customWidth="1"/>
    <col min="41" max="16384" width="9.28515625" style="2"/>
  </cols>
  <sheetData>
    <row r="1" spans="6:39" ht="45.75" customHeight="1" thickBot="1" x14ac:dyDescent="0.25">
      <c r="F1" s="2" t="s">
        <v>10</v>
      </c>
      <c r="I1" s="81"/>
    </row>
    <row r="2" spans="6:39" ht="16.5" thickBot="1" x14ac:dyDescent="0.3">
      <c r="G2" s="286" t="s">
        <v>11</v>
      </c>
      <c r="H2" s="287"/>
      <c r="I2" s="177"/>
      <c r="J2" s="186" t="s">
        <v>12</v>
      </c>
      <c r="K2" s="183" t="s">
        <v>13</v>
      </c>
      <c r="O2" s="208"/>
      <c r="P2" s="208"/>
      <c r="Q2" s="208"/>
      <c r="R2" s="208"/>
      <c r="S2" s="208"/>
      <c r="T2" s="208"/>
      <c r="AM2" s="41"/>
    </row>
    <row r="3" spans="6:39" ht="16.5" thickBot="1" x14ac:dyDescent="0.3">
      <c r="G3" s="179"/>
      <c r="H3" s="182"/>
      <c r="I3" s="178"/>
      <c r="J3" s="185">
        <v>1</v>
      </c>
      <c r="K3" s="186">
        <v>0</v>
      </c>
      <c r="M3" s="212"/>
      <c r="N3" s="222" t="s">
        <v>14</v>
      </c>
      <c r="O3" s="213"/>
      <c r="P3" s="213"/>
      <c r="Q3" s="213"/>
      <c r="R3" s="213"/>
      <c r="S3" s="213"/>
      <c r="T3" s="213"/>
      <c r="U3" s="184"/>
      <c r="V3" s="184"/>
      <c r="W3" s="184"/>
      <c r="X3" s="11"/>
      <c r="AM3" s="41"/>
    </row>
    <row r="4" spans="6:39" ht="15" x14ac:dyDescent="0.25">
      <c r="G4" s="179" t="s">
        <v>15</v>
      </c>
      <c r="I4" s="2"/>
      <c r="J4" s="184"/>
      <c r="K4" s="13"/>
      <c r="M4" s="179"/>
      <c r="N4" s="209"/>
      <c r="O4" s="208"/>
      <c r="P4" s="208"/>
      <c r="Q4" s="208"/>
      <c r="R4" s="208"/>
      <c r="S4" s="208"/>
      <c r="T4" s="208"/>
      <c r="X4" s="13"/>
      <c r="AM4" s="41"/>
    </row>
    <row r="5" spans="6:39" ht="15.75" thickBot="1" x14ac:dyDescent="0.3">
      <c r="G5" s="180" t="s">
        <v>16</v>
      </c>
      <c r="H5" s="15"/>
      <c r="I5" s="15"/>
      <c r="J5" s="15"/>
      <c r="K5" s="181"/>
      <c r="M5" s="179"/>
      <c r="N5" s="209"/>
      <c r="O5" s="210" t="s">
        <v>17</v>
      </c>
      <c r="P5" s="210" t="s">
        <v>18</v>
      </c>
      <c r="Q5" s="210" t="s">
        <v>19</v>
      </c>
      <c r="R5" s="210" t="s">
        <v>20</v>
      </c>
      <c r="S5" s="210" t="s">
        <v>21</v>
      </c>
      <c r="T5" s="210" t="s">
        <v>22</v>
      </c>
      <c r="X5" s="13"/>
      <c r="AM5" s="41"/>
    </row>
    <row r="6" spans="6:39" x14ac:dyDescent="0.2">
      <c r="I6" s="81"/>
      <c r="M6" s="214" t="s">
        <v>23</v>
      </c>
      <c r="O6" s="211">
        <v>1</v>
      </c>
      <c r="P6" s="211">
        <v>0</v>
      </c>
      <c r="Q6" s="211">
        <v>0</v>
      </c>
      <c r="R6" s="211">
        <v>0</v>
      </c>
      <c r="S6" s="211">
        <v>0</v>
      </c>
      <c r="T6" s="211">
        <v>0</v>
      </c>
      <c r="U6" s="41" t="s">
        <v>24</v>
      </c>
      <c r="X6" s="13"/>
      <c r="AM6" s="41"/>
    </row>
    <row r="7" spans="6:39" ht="15" customHeight="1" x14ac:dyDescent="0.2">
      <c r="I7" s="2"/>
      <c r="J7" s="2"/>
      <c r="M7" s="214" t="s">
        <v>25</v>
      </c>
      <c r="O7" s="211">
        <v>0</v>
      </c>
      <c r="P7" s="211">
        <v>0</v>
      </c>
      <c r="Q7" s="211">
        <v>0</v>
      </c>
      <c r="R7" s="211">
        <v>0</v>
      </c>
      <c r="S7" s="211">
        <v>0</v>
      </c>
      <c r="T7" s="211">
        <v>0</v>
      </c>
      <c r="U7" s="41" t="s">
        <v>26</v>
      </c>
      <c r="X7" s="13"/>
      <c r="AM7" s="41"/>
    </row>
    <row r="8" spans="6:39" x14ac:dyDescent="0.2">
      <c r="I8" s="81"/>
      <c r="M8" s="179"/>
      <c r="X8" s="13"/>
      <c r="AM8" s="41"/>
    </row>
    <row r="9" spans="6:39" x14ac:dyDescent="0.2">
      <c r="I9" s="81"/>
      <c r="M9" s="179"/>
      <c r="N9" s="216" t="s">
        <v>27</v>
      </c>
      <c r="O9" s="217"/>
      <c r="P9" s="217"/>
      <c r="Q9" s="217"/>
      <c r="R9" s="217"/>
      <c r="S9" s="217"/>
      <c r="T9" s="218"/>
      <c r="X9" s="215"/>
      <c r="Z9" s="41"/>
      <c r="AJ9" s="20"/>
      <c r="AL9" s="41"/>
      <c r="AM9" s="41"/>
    </row>
    <row r="10" spans="6:39" x14ac:dyDescent="0.2">
      <c r="G10" s="66"/>
      <c r="I10" s="81"/>
      <c r="M10" s="179"/>
      <c r="N10" s="219" t="s">
        <v>28</v>
      </c>
      <c r="O10" s="220" t="s">
        <v>29</v>
      </c>
      <c r="P10" s="220" t="s">
        <v>30</v>
      </c>
      <c r="Q10" s="220" t="s">
        <v>31</v>
      </c>
      <c r="R10" s="220" t="s">
        <v>32</v>
      </c>
      <c r="S10" s="220" t="s">
        <v>33</v>
      </c>
      <c r="T10" s="221"/>
      <c r="X10" s="215"/>
      <c r="Y10" s="41"/>
      <c r="Z10" s="41"/>
      <c r="AM10" s="41"/>
    </row>
    <row r="11" spans="6:39" ht="14.25" customHeight="1" x14ac:dyDescent="0.25">
      <c r="G11" s="64"/>
      <c r="I11" s="81"/>
      <c r="K11" s="61"/>
      <c r="M11" s="179"/>
      <c r="N11" s="216" t="s">
        <v>34</v>
      </c>
      <c r="O11" s="217"/>
      <c r="P11" s="217"/>
      <c r="Q11" s="217"/>
      <c r="R11" s="217"/>
      <c r="S11" s="217"/>
      <c r="T11" s="218"/>
      <c r="X11" s="215"/>
      <c r="Y11" s="41"/>
      <c r="Z11" s="41"/>
      <c r="AM11" s="41"/>
    </row>
    <row r="12" spans="6:39" ht="14.25" customHeight="1" x14ac:dyDescent="0.2">
      <c r="G12" s="175"/>
      <c r="I12" s="81"/>
      <c r="K12" s="61"/>
      <c r="M12" s="179"/>
      <c r="N12" s="219" t="s">
        <v>28</v>
      </c>
      <c r="O12" s="220" t="s">
        <v>35</v>
      </c>
      <c r="P12" s="220" t="s">
        <v>36</v>
      </c>
      <c r="Q12" s="220" t="s">
        <v>37</v>
      </c>
      <c r="R12" s="220" t="s">
        <v>38</v>
      </c>
      <c r="S12" s="220" t="s">
        <v>39</v>
      </c>
      <c r="T12" s="221"/>
      <c r="V12" s="84"/>
      <c r="W12" s="84"/>
      <c r="X12" s="215"/>
      <c r="Y12" s="41"/>
      <c r="Z12" s="41"/>
      <c r="AM12" s="41"/>
    </row>
    <row r="13" spans="6:39" ht="13.5" thickBot="1" x14ac:dyDescent="0.25">
      <c r="G13" s="94" t="s">
        <v>40</v>
      </c>
      <c r="H13" s="94"/>
      <c r="I13" s="94"/>
      <c r="J13" s="93"/>
      <c r="K13" s="207"/>
      <c r="M13" s="180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81"/>
      <c r="Y13" s="41"/>
      <c r="Z13" s="41"/>
      <c r="AM13" s="41"/>
    </row>
    <row r="14" spans="6:39" ht="15" x14ac:dyDescent="0.2">
      <c r="G14" s="176"/>
      <c r="I14" s="81"/>
      <c r="K14" s="61"/>
      <c r="X14" s="41"/>
      <c r="Y14" s="41"/>
      <c r="Z14" s="41"/>
      <c r="AM14" s="41"/>
    </row>
    <row r="15" spans="6:39" ht="15.75" thickBot="1" x14ac:dyDescent="0.25">
      <c r="G15" s="176"/>
      <c r="I15" s="81"/>
      <c r="X15" s="41"/>
      <c r="Y15" s="41"/>
      <c r="Z15" s="41"/>
      <c r="AM15" s="41"/>
    </row>
    <row r="16" spans="6:39" ht="15.75" thickBot="1" x14ac:dyDescent="0.25">
      <c r="G16" s="176"/>
      <c r="I16" s="81"/>
      <c r="M16" s="95" t="s">
        <v>41</v>
      </c>
      <c r="N16" s="96"/>
      <c r="O16" s="96"/>
      <c r="P16" s="98">
        <v>0</v>
      </c>
      <c r="Q16" s="97" t="s">
        <v>42</v>
      </c>
      <c r="U16" s="288" t="s">
        <v>43</v>
      </c>
      <c r="V16" s="288"/>
      <c r="W16" s="187"/>
      <c r="X16" s="188"/>
      <c r="Y16" s="188"/>
      <c r="Z16" s="188"/>
      <c r="AA16" s="11"/>
      <c r="AE16" s="5"/>
      <c r="AM16" s="41"/>
    </row>
    <row r="17" spans="2:39" ht="15" x14ac:dyDescent="0.2">
      <c r="I17" s="81"/>
      <c r="M17" s="20"/>
      <c r="N17" s="20"/>
      <c r="O17" s="20"/>
      <c r="P17" s="20"/>
      <c r="Q17" s="20"/>
      <c r="U17" s="192" t="s">
        <v>44</v>
      </c>
      <c r="V17" s="147" t="s">
        <v>45</v>
      </c>
      <c r="W17" s="147" t="s">
        <v>46</v>
      </c>
      <c r="X17" s="190" t="s">
        <v>47</v>
      </c>
      <c r="Y17" s="147" t="s">
        <v>48</v>
      </c>
      <c r="Z17" s="147" t="s">
        <v>49</v>
      </c>
      <c r="AA17" s="189" t="s">
        <v>50</v>
      </c>
      <c r="AE17" s="5"/>
      <c r="AM17" s="41"/>
    </row>
    <row r="18" spans="2:39" ht="13.5" thickBot="1" x14ac:dyDescent="0.25">
      <c r="I18" s="81"/>
      <c r="N18" s="41"/>
      <c r="Q18" s="20"/>
      <c r="U18" s="191" t="s">
        <v>51</v>
      </c>
      <c r="V18" s="193" t="s">
        <v>52</v>
      </c>
      <c r="W18" s="195" t="s">
        <v>53</v>
      </c>
      <c r="X18" s="196" t="s">
        <v>54</v>
      </c>
      <c r="Y18" s="197" t="s">
        <v>55</v>
      </c>
      <c r="Z18" s="195" t="s">
        <v>56</v>
      </c>
      <c r="AA18" s="194" t="s">
        <v>57</v>
      </c>
      <c r="AM18" s="41"/>
    </row>
    <row r="19" spans="2:39" ht="18.75" x14ac:dyDescent="0.2">
      <c r="I19" s="175" t="s">
        <v>58</v>
      </c>
      <c r="V19" s="20"/>
      <c r="AM19" s="41"/>
    </row>
    <row r="20" spans="2:39" ht="15" x14ac:dyDescent="0.2">
      <c r="H20" s="2" t="s">
        <v>59</v>
      </c>
      <c r="I20" s="176" t="s">
        <v>60</v>
      </c>
      <c r="AM20" s="41"/>
    </row>
    <row r="21" spans="2:39" ht="15" x14ac:dyDescent="0.2">
      <c r="I21" s="176" t="s">
        <v>61</v>
      </c>
      <c r="AM21" s="41"/>
    </row>
    <row r="22" spans="2:39" ht="15" x14ac:dyDescent="0.2">
      <c r="I22" s="176" t="s">
        <v>62</v>
      </c>
      <c r="N22" s="41"/>
      <c r="Q22" s="20"/>
      <c r="AM22" s="41"/>
    </row>
    <row r="23" spans="2:39" x14ac:dyDescent="0.2">
      <c r="I23" s="81"/>
      <c r="N23" s="41"/>
      <c r="Q23" s="20"/>
      <c r="S23" s="20"/>
      <c r="T23" s="20"/>
      <c r="U23" s="20"/>
      <c r="V23" s="20"/>
      <c r="AM23" s="41"/>
    </row>
    <row r="24" spans="2:39" ht="15.75" customHeight="1" thickBot="1" x14ac:dyDescent="0.25">
      <c r="I24" s="2"/>
      <c r="J24" s="2"/>
      <c r="L24" s="132"/>
      <c r="M24" s="132"/>
      <c r="N24" s="132"/>
      <c r="O24" s="132"/>
      <c r="P24" s="132"/>
      <c r="Q24" s="132"/>
      <c r="R24" s="132"/>
      <c r="T24" s="83"/>
      <c r="U24" s="83"/>
      <c r="X24" s="83"/>
      <c r="Y24" s="83"/>
      <c r="Z24" s="141"/>
      <c r="AB24" s="132"/>
      <c r="AF24" s="132"/>
      <c r="AM24" s="41"/>
    </row>
    <row r="25" spans="2:39" ht="19.5" customHeight="1" thickTop="1" x14ac:dyDescent="0.25">
      <c r="B25" s="92"/>
      <c r="C25" s="92"/>
      <c r="D25" s="92"/>
      <c r="E25" s="53"/>
      <c r="F25" s="53"/>
      <c r="H25" s="113"/>
      <c r="I25" s="113"/>
      <c r="J25" s="2"/>
      <c r="K25" s="131"/>
      <c r="L25" s="20"/>
      <c r="M25" s="20"/>
      <c r="N25" s="246" t="s">
        <v>63</v>
      </c>
      <c r="O25" s="246"/>
      <c r="P25" s="20"/>
      <c r="Q25" s="20"/>
      <c r="R25" s="133"/>
      <c r="S25" s="131"/>
      <c r="T25" s="140"/>
      <c r="U25" s="140"/>
      <c r="V25" s="246" t="s">
        <v>64</v>
      </c>
      <c r="W25" s="246"/>
      <c r="X25" s="140"/>
      <c r="Y25" s="140"/>
      <c r="Z25" s="20"/>
      <c r="AA25" s="131"/>
      <c r="AB25" s="140"/>
      <c r="AC25" s="140"/>
      <c r="AD25" s="246" t="s">
        <v>65</v>
      </c>
      <c r="AE25" s="246"/>
      <c r="AF25" s="140"/>
      <c r="AG25" s="140"/>
      <c r="AH25" s="140"/>
      <c r="AI25" s="142"/>
      <c r="AM25" s="41"/>
    </row>
    <row r="26" spans="2:39" ht="15.75" thickBot="1" x14ac:dyDescent="0.3">
      <c r="B26" s="113"/>
      <c r="C26" s="53"/>
      <c r="D26" s="53"/>
      <c r="E26" s="53"/>
      <c r="F26" s="53"/>
      <c r="G26" s="113"/>
      <c r="H26" s="113"/>
      <c r="I26" s="113"/>
      <c r="J26" s="130"/>
      <c r="K26" s="127"/>
      <c r="L26" s="127"/>
      <c r="M26" s="127"/>
      <c r="N26" s="127"/>
      <c r="O26" s="127"/>
      <c r="P26" s="127"/>
      <c r="Q26" s="127"/>
      <c r="R26" s="134"/>
      <c r="S26" s="127"/>
      <c r="T26" s="127"/>
      <c r="U26" s="127"/>
      <c r="V26" s="127"/>
      <c r="W26" s="127"/>
      <c r="X26" s="127"/>
      <c r="Y26" s="127"/>
      <c r="Z26" s="134"/>
      <c r="AA26" s="127"/>
      <c r="AB26" s="127"/>
      <c r="AC26" s="174"/>
      <c r="AD26" s="174" t="s">
        <v>66</v>
      </c>
      <c r="AE26" s="127"/>
      <c r="AF26" s="127"/>
      <c r="AG26" s="127"/>
      <c r="AH26" s="134"/>
      <c r="AI26" s="142"/>
      <c r="AM26" s="41"/>
    </row>
    <row r="27" spans="2:39" ht="15" customHeight="1" x14ac:dyDescent="0.2">
      <c r="B27" s="113"/>
      <c r="C27" s="53"/>
      <c r="D27" s="53"/>
      <c r="E27" s="53"/>
      <c r="F27" s="53"/>
      <c r="G27" s="113"/>
      <c r="H27" s="113"/>
      <c r="I27" s="113"/>
      <c r="J27" s="130"/>
      <c r="K27" s="247" t="s">
        <v>67</v>
      </c>
      <c r="L27" s="247"/>
      <c r="M27" s="247"/>
      <c r="N27" s="247"/>
      <c r="O27" s="247"/>
      <c r="P27" s="247"/>
      <c r="Q27" s="247"/>
      <c r="R27" s="248"/>
      <c r="S27" s="247" t="s">
        <v>67</v>
      </c>
      <c r="T27" s="247"/>
      <c r="U27" s="247"/>
      <c r="V27" s="247"/>
      <c r="W27" s="247"/>
      <c r="X27" s="247"/>
      <c r="Y27" s="247"/>
      <c r="Z27" s="248"/>
      <c r="AA27" s="247" t="s">
        <v>67</v>
      </c>
      <c r="AB27" s="247"/>
      <c r="AC27" s="247"/>
      <c r="AD27" s="247"/>
      <c r="AE27" s="247"/>
      <c r="AF27" s="247"/>
      <c r="AG27" s="247"/>
      <c r="AH27" s="248"/>
      <c r="AM27" s="41"/>
    </row>
    <row r="28" spans="2:39" ht="15.75" thickBot="1" x14ac:dyDescent="0.25">
      <c r="B28" s="113"/>
      <c r="C28" s="53"/>
      <c r="D28" s="53"/>
      <c r="E28" s="53"/>
      <c r="F28" s="53"/>
      <c r="G28" s="113"/>
      <c r="H28" s="113"/>
      <c r="I28" s="113"/>
      <c r="J28" s="130"/>
      <c r="K28" s="247"/>
      <c r="L28" s="247"/>
      <c r="M28" s="247"/>
      <c r="N28" s="247"/>
      <c r="O28" s="247"/>
      <c r="P28" s="247"/>
      <c r="Q28" s="247"/>
      <c r="R28" s="248"/>
      <c r="S28" s="247"/>
      <c r="T28" s="247"/>
      <c r="U28" s="247"/>
      <c r="V28" s="247"/>
      <c r="W28" s="247"/>
      <c r="X28" s="247"/>
      <c r="Y28" s="247"/>
      <c r="Z28" s="248"/>
      <c r="AA28" s="247"/>
      <c r="AB28" s="247"/>
      <c r="AC28" s="247"/>
      <c r="AD28" s="247"/>
      <c r="AE28" s="247"/>
      <c r="AF28" s="247"/>
      <c r="AG28" s="247"/>
      <c r="AH28" s="248"/>
      <c r="AM28" s="41"/>
    </row>
    <row r="29" spans="2:39" ht="15.75" thickBot="1" x14ac:dyDescent="0.25">
      <c r="B29" s="113"/>
      <c r="C29" s="53"/>
      <c r="D29" s="53"/>
      <c r="E29" s="53"/>
      <c r="F29" s="53"/>
      <c r="G29" s="113"/>
      <c r="H29" s="113"/>
      <c r="I29" s="113"/>
      <c r="J29" s="130"/>
      <c r="K29" s="251" t="s">
        <v>68</v>
      </c>
      <c r="L29" s="252"/>
      <c r="M29" s="249" t="s">
        <v>69</v>
      </c>
      <c r="N29" s="252"/>
      <c r="O29" s="249" t="s">
        <v>70</v>
      </c>
      <c r="P29" s="252"/>
      <c r="Q29" s="249" t="s">
        <v>71</v>
      </c>
      <c r="R29" s="250"/>
      <c r="S29" s="251" t="s">
        <v>68</v>
      </c>
      <c r="T29" s="252"/>
      <c r="U29" s="249" t="s">
        <v>69</v>
      </c>
      <c r="V29" s="252"/>
      <c r="W29" s="249" t="s">
        <v>70</v>
      </c>
      <c r="X29" s="252"/>
      <c r="Y29" s="249" t="s">
        <v>71</v>
      </c>
      <c r="Z29" s="250"/>
      <c r="AA29" s="251" t="s">
        <v>68</v>
      </c>
      <c r="AB29" s="252"/>
      <c r="AC29" s="249" t="s">
        <v>69</v>
      </c>
      <c r="AD29" s="252"/>
      <c r="AE29" s="249" t="s">
        <v>70</v>
      </c>
      <c r="AF29" s="252"/>
      <c r="AG29" s="249" t="s">
        <v>71</v>
      </c>
      <c r="AH29" s="250"/>
      <c r="AM29" s="41"/>
    </row>
    <row r="30" spans="2:39" ht="15.75" thickBot="1" x14ac:dyDescent="0.3">
      <c r="B30" s="53"/>
      <c r="C30" s="53"/>
      <c r="D30" s="53"/>
      <c r="E30" s="53"/>
      <c r="F30" s="53"/>
      <c r="G30" s="113"/>
      <c r="H30" s="113"/>
      <c r="I30" s="113"/>
      <c r="J30" s="130"/>
      <c r="K30" s="253">
        <v>0</v>
      </c>
      <c r="L30" s="255"/>
      <c r="M30" s="253">
        <v>0</v>
      </c>
      <c r="N30" s="255"/>
      <c r="O30" s="253">
        <v>0</v>
      </c>
      <c r="P30" s="255"/>
      <c r="Q30" s="253">
        <v>0</v>
      </c>
      <c r="R30" s="255"/>
      <c r="S30" s="253">
        <v>0</v>
      </c>
      <c r="T30" s="255"/>
      <c r="U30" s="253">
        <v>0</v>
      </c>
      <c r="V30" s="255"/>
      <c r="W30" s="253">
        <v>0</v>
      </c>
      <c r="X30" s="255"/>
      <c r="Y30" s="253">
        <v>0</v>
      </c>
      <c r="Z30" s="255"/>
      <c r="AA30" s="253">
        <v>0</v>
      </c>
      <c r="AB30" s="255"/>
      <c r="AC30" s="253">
        <v>0</v>
      </c>
      <c r="AD30" s="255"/>
      <c r="AE30" s="253">
        <v>0</v>
      </c>
      <c r="AF30" s="255"/>
      <c r="AG30" s="253">
        <v>0</v>
      </c>
      <c r="AH30" s="254"/>
      <c r="AM30" s="41"/>
    </row>
    <row r="31" spans="2:39" ht="15.75" thickBot="1" x14ac:dyDescent="0.25">
      <c r="B31" s="53"/>
      <c r="C31" s="53"/>
      <c r="D31" s="53"/>
      <c r="E31" s="53"/>
      <c r="F31" s="53"/>
      <c r="G31" s="113"/>
      <c r="H31" s="113"/>
      <c r="I31" s="113"/>
      <c r="J31" s="130"/>
      <c r="K31" s="139"/>
      <c r="L31" s="84"/>
      <c r="M31" s="84"/>
      <c r="N31" s="84"/>
      <c r="O31" s="84"/>
      <c r="P31" s="84"/>
      <c r="Q31" s="84"/>
      <c r="R31" s="135"/>
      <c r="S31" s="139"/>
      <c r="T31" s="84"/>
      <c r="U31" s="84"/>
      <c r="V31" s="84"/>
      <c r="W31" s="84"/>
      <c r="X31" s="84"/>
      <c r="Y31" s="84"/>
      <c r="Z31" s="135"/>
      <c r="AA31" s="139"/>
      <c r="AB31" s="84"/>
      <c r="AC31" s="84"/>
      <c r="AD31" s="84"/>
      <c r="AE31" s="84"/>
      <c r="AF31" s="84"/>
      <c r="AG31" s="84"/>
      <c r="AH31" s="135"/>
      <c r="AI31" s="142"/>
      <c r="AM31" s="41"/>
    </row>
    <row r="32" spans="2:39" ht="15.75" thickBot="1" x14ac:dyDescent="0.25">
      <c r="C32" s="53"/>
      <c r="D32" s="53"/>
      <c r="E32" s="53"/>
      <c r="F32" s="53"/>
      <c r="G32" s="113"/>
      <c r="H32" s="113"/>
      <c r="I32" s="113"/>
      <c r="J32" s="130"/>
      <c r="K32" s="256" t="s">
        <v>72</v>
      </c>
      <c r="L32" s="256"/>
      <c r="M32" s="256"/>
      <c r="N32" s="256"/>
      <c r="O32" s="256"/>
      <c r="P32" s="242">
        <v>5</v>
      </c>
      <c r="Q32" s="115"/>
      <c r="R32" s="136"/>
      <c r="S32" s="256" t="s">
        <v>72</v>
      </c>
      <c r="T32" s="256"/>
      <c r="U32" s="256"/>
      <c r="V32" s="256"/>
      <c r="W32" s="256"/>
      <c r="X32" s="242">
        <v>5</v>
      </c>
      <c r="Y32" s="115"/>
      <c r="Z32" s="136"/>
      <c r="AA32" s="256" t="s">
        <v>72</v>
      </c>
      <c r="AB32" s="256"/>
      <c r="AC32" s="256"/>
      <c r="AD32" s="256"/>
      <c r="AE32" s="256"/>
      <c r="AF32" s="242">
        <v>5</v>
      </c>
      <c r="AG32" s="115"/>
      <c r="AH32" s="136"/>
      <c r="AI32" s="142"/>
      <c r="AM32" s="41"/>
    </row>
    <row r="33" spans="1:41" ht="15.75" thickBot="1" x14ac:dyDescent="0.3">
      <c r="B33" s="53"/>
      <c r="C33" s="53"/>
      <c r="D33" s="53"/>
      <c r="E33" s="53"/>
      <c r="F33" s="53"/>
      <c r="G33" s="113"/>
      <c r="H33" s="113"/>
      <c r="I33" s="113"/>
      <c r="J33" s="130"/>
      <c r="K33" s="64"/>
      <c r="L33" s="64"/>
      <c r="M33" s="64"/>
      <c r="N33" s="64"/>
      <c r="O33" s="64"/>
      <c r="P33" s="129"/>
      <c r="Q33" s="64"/>
      <c r="R33" s="137"/>
      <c r="S33" s="64"/>
      <c r="T33" s="64"/>
      <c r="U33" s="64"/>
      <c r="V33" s="64"/>
      <c r="W33" s="64"/>
      <c r="X33" s="129"/>
      <c r="Y33" s="64"/>
      <c r="Z33" s="137"/>
      <c r="AA33" s="64"/>
      <c r="AB33" s="64"/>
      <c r="AC33" s="64"/>
      <c r="AD33" s="64"/>
      <c r="AE33" s="64"/>
      <c r="AF33" s="129"/>
      <c r="AG33" s="64"/>
      <c r="AH33" s="137"/>
      <c r="AI33" s="142"/>
      <c r="AM33" s="41"/>
    </row>
    <row r="34" spans="1:41" ht="15.75" thickBot="1" x14ac:dyDescent="0.3">
      <c r="E34" s="53"/>
      <c r="F34" s="53"/>
      <c r="G34" s="113"/>
      <c r="H34" s="113"/>
      <c r="I34" s="113"/>
      <c r="J34" s="130"/>
      <c r="K34" s="128" t="s">
        <v>73</v>
      </c>
      <c r="L34" s="128"/>
      <c r="M34" s="128"/>
      <c r="N34" s="241" t="s">
        <v>74</v>
      </c>
      <c r="O34" s="128"/>
      <c r="P34" s="65"/>
      <c r="Q34" s="128"/>
      <c r="R34" s="138"/>
      <c r="S34" s="128" t="s">
        <v>73</v>
      </c>
      <c r="T34" s="128"/>
      <c r="U34" s="128"/>
      <c r="V34" s="241" t="s">
        <v>74</v>
      </c>
      <c r="W34" s="128"/>
      <c r="X34" s="65"/>
      <c r="Y34" s="128"/>
      <c r="Z34" s="138"/>
      <c r="AA34" s="128" t="s">
        <v>75</v>
      </c>
      <c r="AB34" s="128"/>
      <c r="AC34" s="128"/>
      <c r="AD34" s="128"/>
      <c r="AE34" s="128"/>
      <c r="AF34" s="65"/>
      <c r="AG34" s="128"/>
      <c r="AH34" s="138"/>
      <c r="AI34" s="142"/>
    </row>
    <row r="35" spans="1:41" ht="39" customHeight="1" thickBot="1" x14ac:dyDescent="0.25">
      <c r="E35"/>
      <c r="F35"/>
      <c r="G35" s="113"/>
      <c r="H35" s="113"/>
      <c r="I35" s="113"/>
      <c r="J35" s="130"/>
      <c r="K35" s="257" t="s">
        <v>76</v>
      </c>
      <c r="L35" s="258"/>
      <c r="M35" s="259" t="s">
        <v>77</v>
      </c>
      <c r="N35" s="258"/>
      <c r="O35" s="259" t="s">
        <v>78</v>
      </c>
      <c r="P35" s="258"/>
      <c r="Q35" s="259" t="s">
        <v>79</v>
      </c>
      <c r="R35" s="260"/>
      <c r="S35" s="257" t="s">
        <v>76</v>
      </c>
      <c r="T35" s="258"/>
      <c r="U35" s="259" t="s">
        <v>77</v>
      </c>
      <c r="V35" s="258"/>
      <c r="W35" s="259" t="s">
        <v>78</v>
      </c>
      <c r="X35" s="258"/>
      <c r="Y35" s="259" t="s">
        <v>79</v>
      </c>
      <c r="Z35" s="260"/>
      <c r="AA35" s="257" t="s">
        <v>76</v>
      </c>
      <c r="AB35" s="258"/>
      <c r="AC35" s="259" t="s">
        <v>77</v>
      </c>
      <c r="AD35" s="258"/>
      <c r="AE35" s="259" t="s">
        <v>78</v>
      </c>
      <c r="AF35" s="258"/>
      <c r="AG35" s="259" t="s">
        <v>79</v>
      </c>
      <c r="AH35" s="260"/>
      <c r="AI35" s="142"/>
      <c r="AL35" s="20"/>
    </row>
    <row r="36" spans="1:41" ht="38.25" customHeight="1" x14ac:dyDescent="0.2">
      <c r="G36" s="113"/>
      <c r="H36" s="113"/>
      <c r="I36" s="113"/>
      <c r="J36" s="145"/>
      <c r="K36" s="261" t="s">
        <v>138</v>
      </c>
      <c r="L36" s="262"/>
      <c r="M36" s="263" t="s">
        <v>80</v>
      </c>
      <c r="N36" s="264"/>
      <c r="O36" s="265" t="s">
        <v>81</v>
      </c>
      <c r="P36" s="262"/>
      <c r="Q36" s="263" t="s">
        <v>82</v>
      </c>
      <c r="R36" s="272"/>
      <c r="S36" s="261" t="s">
        <v>138</v>
      </c>
      <c r="T36" s="262"/>
      <c r="U36" s="263" t="s">
        <v>80</v>
      </c>
      <c r="V36" s="264"/>
      <c r="W36" s="265" t="s">
        <v>81</v>
      </c>
      <c r="X36" s="262"/>
      <c r="Y36" s="263" t="s">
        <v>82</v>
      </c>
      <c r="Z36" s="272"/>
      <c r="AA36" s="261" t="s">
        <v>138</v>
      </c>
      <c r="AB36" s="262"/>
      <c r="AC36" s="263" t="s">
        <v>80</v>
      </c>
      <c r="AD36" s="264"/>
      <c r="AE36" s="265" t="s">
        <v>81</v>
      </c>
      <c r="AF36" s="262"/>
      <c r="AG36" s="263" t="s">
        <v>82</v>
      </c>
      <c r="AH36" s="272"/>
      <c r="AI36" s="142"/>
      <c r="AL36" s="20"/>
    </row>
    <row r="37" spans="1:41" ht="38.25" customHeight="1" thickBot="1" x14ac:dyDescent="0.25">
      <c r="H37" s="53"/>
      <c r="I37" s="53"/>
      <c r="J37" s="226"/>
      <c r="K37" s="267" t="s">
        <v>83</v>
      </c>
      <c r="L37" s="267"/>
      <c r="M37" s="267"/>
      <c r="N37" s="267"/>
      <c r="O37" s="267"/>
      <c r="P37" s="267"/>
      <c r="Q37" s="267"/>
      <c r="R37" s="268"/>
      <c r="S37" s="266" t="s">
        <v>83</v>
      </c>
      <c r="T37" s="267"/>
      <c r="U37" s="267"/>
      <c r="V37" s="267"/>
      <c r="W37" s="267"/>
      <c r="X37" s="267"/>
      <c r="Y37" s="267"/>
      <c r="Z37" s="268"/>
      <c r="AA37" s="269" t="s">
        <v>83</v>
      </c>
      <c r="AB37" s="270"/>
      <c r="AC37" s="270"/>
      <c r="AD37" s="270"/>
      <c r="AE37" s="270"/>
      <c r="AF37" s="270"/>
      <c r="AG37" s="270"/>
      <c r="AH37" s="271"/>
      <c r="AL37" s="20"/>
    </row>
    <row r="38" spans="1:41" ht="38.25" customHeight="1" thickTop="1" thickBot="1" x14ac:dyDescent="0.25">
      <c r="H38" s="53"/>
      <c r="I38" s="99"/>
      <c r="J38" s="114"/>
      <c r="K38" s="278" t="s">
        <v>63</v>
      </c>
      <c r="L38" s="279"/>
      <c r="M38" s="279"/>
      <c r="N38" s="279"/>
      <c r="O38" s="279"/>
      <c r="P38" s="279"/>
      <c r="Q38" s="279"/>
      <c r="R38" s="280"/>
      <c r="S38" s="278" t="s">
        <v>64</v>
      </c>
      <c r="T38" s="279"/>
      <c r="U38" s="279"/>
      <c r="V38" s="279"/>
      <c r="W38" s="279"/>
      <c r="X38" s="279"/>
      <c r="Y38" s="279"/>
      <c r="Z38" s="279"/>
      <c r="AA38" s="281" t="s">
        <v>65</v>
      </c>
      <c r="AB38" s="282"/>
      <c r="AC38" s="282"/>
      <c r="AD38" s="282"/>
      <c r="AE38" s="282"/>
      <c r="AF38" s="282"/>
      <c r="AG38" s="282"/>
      <c r="AH38" s="283"/>
      <c r="AL38" s="20"/>
    </row>
    <row r="39" spans="1:41" ht="30" customHeight="1" thickBot="1" x14ac:dyDescent="0.25">
      <c r="E39" s="83"/>
      <c r="F39" s="83"/>
      <c r="G39" s="83"/>
      <c r="H39" s="53"/>
      <c r="I39" s="99"/>
      <c r="J39" s="227"/>
      <c r="K39" s="273" t="s">
        <v>84</v>
      </c>
      <c r="L39" s="274"/>
      <c r="M39" s="274"/>
      <c r="N39" s="275"/>
      <c r="O39" s="276" t="s">
        <v>85</v>
      </c>
      <c r="P39" s="274"/>
      <c r="Q39" s="274"/>
      <c r="R39" s="277"/>
      <c r="S39" s="273" t="s">
        <v>84</v>
      </c>
      <c r="T39" s="274"/>
      <c r="U39" s="274"/>
      <c r="V39" s="275"/>
      <c r="W39" s="276" t="s">
        <v>85</v>
      </c>
      <c r="X39" s="274"/>
      <c r="Y39" s="274"/>
      <c r="Z39" s="277"/>
      <c r="AA39" s="273" t="s">
        <v>84</v>
      </c>
      <c r="AB39" s="274"/>
      <c r="AC39" s="274"/>
      <c r="AD39" s="275"/>
      <c r="AE39" s="276" t="s">
        <v>85</v>
      </c>
      <c r="AF39" s="274"/>
      <c r="AG39" s="274"/>
      <c r="AH39" s="277"/>
      <c r="AL39" s="20"/>
    </row>
    <row r="40" spans="1:41" ht="51" customHeight="1" thickBot="1" x14ac:dyDescent="0.25">
      <c r="B40" s="245" t="s">
        <v>86</v>
      </c>
      <c r="C40" s="245"/>
      <c r="D40" s="245"/>
      <c r="E40" s="245"/>
      <c r="F40" s="245"/>
      <c r="G40" s="245"/>
      <c r="H40" s="53"/>
      <c r="I40" s="223" t="s">
        <v>87</v>
      </c>
      <c r="J40" s="229" t="s">
        <v>88</v>
      </c>
      <c r="K40" s="228" t="s">
        <v>89</v>
      </c>
      <c r="L40" s="82" t="s">
        <v>90</v>
      </c>
      <c r="M40" s="82" t="s">
        <v>91</v>
      </c>
      <c r="N40" s="82" t="s">
        <v>92</v>
      </c>
      <c r="O40" s="82" t="s">
        <v>93</v>
      </c>
      <c r="P40" s="82" t="s">
        <v>94</v>
      </c>
      <c r="Q40" s="82" t="s">
        <v>95</v>
      </c>
      <c r="R40" s="198" t="s">
        <v>96</v>
      </c>
      <c r="S40" s="199" t="s">
        <v>89</v>
      </c>
      <c r="T40" s="82" t="s">
        <v>90</v>
      </c>
      <c r="U40" s="82" t="s">
        <v>91</v>
      </c>
      <c r="V40" s="82" t="s">
        <v>92</v>
      </c>
      <c r="W40" s="82" t="s">
        <v>93</v>
      </c>
      <c r="X40" s="82" t="s">
        <v>94</v>
      </c>
      <c r="Y40" s="82" t="s">
        <v>95</v>
      </c>
      <c r="Z40" s="198" t="s">
        <v>96</v>
      </c>
      <c r="AA40" s="199" t="s">
        <v>89</v>
      </c>
      <c r="AB40" s="82" t="s">
        <v>90</v>
      </c>
      <c r="AC40" s="82" t="s">
        <v>91</v>
      </c>
      <c r="AD40" s="82" t="s">
        <v>92</v>
      </c>
      <c r="AE40" s="82" t="s">
        <v>93</v>
      </c>
      <c r="AF40" s="82" t="s">
        <v>94</v>
      </c>
      <c r="AG40" s="82" t="s">
        <v>95</v>
      </c>
      <c r="AH40" s="200" t="s">
        <v>96</v>
      </c>
      <c r="AL40" s="20"/>
    </row>
    <row r="41" spans="1:41" ht="13.5" customHeight="1" thickBot="1" x14ac:dyDescent="0.25">
      <c r="B41" s="148" t="s">
        <v>97</v>
      </c>
      <c r="C41" s="149" t="s">
        <v>133</v>
      </c>
      <c r="D41" s="149" t="s">
        <v>134</v>
      </c>
      <c r="E41" s="149" t="s">
        <v>135</v>
      </c>
      <c r="F41" s="149" t="s">
        <v>136</v>
      </c>
      <c r="G41" s="150" t="s">
        <v>137</v>
      </c>
      <c r="H41" s="53"/>
      <c r="I41" s="80">
        <v>0</v>
      </c>
      <c r="J41" s="230">
        <v>1</v>
      </c>
      <c r="K41" s="155">
        <v>0</v>
      </c>
      <c r="L41" s="143">
        <v>0</v>
      </c>
      <c r="M41" s="143">
        <v>0</v>
      </c>
      <c r="N41" s="144">
        <v>0</v>
      </c>
      <c r="O41" s="154">
        <v>0</v>
      </c>
      <c r="P41" s="143">
        <v>0</v>
      </c>
      <c r="Q41" s="144">
        <v>0</v>
      </c>
      <c r="R41" s="164">
        <v>0</v>
      </c>
      <c r="S41" s="289" t="s">
        <v>98</v>
      </c>
      <c r="T41" s="290"/>
      <c r="U41" s="290"/>
      <c r="V41" s="290"/>
      <c r="W41" s="290"/>
      <c r="X41" s="290"/>
      <c r="Y41" s="290"/>
      <c r="Z41" s="291"/>
      <c r="AA41" s="155">
        <v>0</v>
      </c>
      <c r="AB41" s="143">
        <v>0</v>
      </c>
      <c r="AC41" s="143">
        <v>0</v>
      </c>
      <c r="AD41" s="144">
        <v>0</v>
      </c>
      <c r="AE41" s="154">
        <v>0</v>
      </c>
      <c r="AF41" s="143">
        <v>0</v>
      </c>
      <c r="AG41" s="144">
        <v>0</v>
      </c>
      <c r="AH41" s="164">
        <v>0</v>
      </c>
    </row>
    <row r="42" spans="1:41" ht="13.5" customHeight="1" thickBot="1" x14ac:dyDescent="0.25">
      <c r="B42" s="148" t="s">
        <v>127</v>
      </c>
      <c r="C42" s="143">
        <v>0</v>
      </c>
      <c r="D42" s="143">
        <v>7</v>
      </c>
      <c r="E42" s="143"/>
      <c r="F42" s="143"/>
      <c r="G42" s="143"/>
      <c r="H42" s="53"/>
      <c r="I42" s="80">
        <v>1</v>
      </c>
      <c r="J42" s="230">
        <v>2</v>
      </c>
      <c r="K42" s="155">
        <v>0</v>
      </c>
      <c r="L42" s="143">
        <v>0</v>
      </c>
      <c r="M42" s="143">
        <v>0</v>
      </c>
      <c r="N42" s="156">
        <v>0</v>
      </c>
      <c r="O42" s="155">
        <v>0</v>
      </c>
      <c r="P42" s="143">
        <v>0</v>
      </c>
      <c r="Q42" s="144">
        <v>0</v>
      </c>
      <c r="R42" s="164">
        <v>0</v>
      </c>
      <c r="S42" s="292"/>
      <c r="T42" s="293"/>
      <c r="U42" s="293"/>
      <c r="V42" s="293"/>
      <c r="W42" s="293"/>
      <c r="X42" s="293"/>
      <c r="Y42" s="293"/>
      <c r="Z42" s="294"/>
      <c r="AA42" s="155">
        <v>0</v>
      </c>
      <c r="AB42" s="143">
        <v>0</v>
      </c>
      <c r="AC42" s="143">
        <v>0</v>
      </c>
      <c r="AD42" s="156">
        <v>0</v>
      </c>
      <c r="AE42" s="155">
        <v>0</v>
      </c>
      <c r="AF42" s="143">
        <v>0</v>
      </c>
      <c r="AG42" s="144">
        <v>0</v>
      </c>
      <c r="AH42" s="164">
        <v>0</v>
      </c>
    </row>
    <row r="43" spans="1:41" ht="13.5" customHeight="1" thickBot="1" x14ac:dyDescent="0.3">
      <c r="B43" s="148" t="s">
        <v>128</v>
      </c>
      <c r="C43" s="143">
        <v>6</v>
      </c>
      <c r="D43" s="143">
        <v>11</v>
      </c>
      <c r="E43" s="143"/>
      <c r="F43" s="143"/>
      <c r="G43" s="143"/>
      <c r="H43" s="53"/>
      <c r="I43" s="80">
        <v>2</v>
      </c>
      <c r="J43" s="230">
        <v>3</v>
      </c>
      <c r="K43" s="155">
        <v>0</v>
      </c>
      <c r="L43" s="143">
        <v>0</v>
      </c>
      <c r="M43" s="143">
        <v>0</v>
      </c>
      <c r="N43" s="156">
        <v>0</v>
      </c>
      <c r="O43" s="155">
        <v>0</v>
      </c>
      <c r="P43" s="143">
        <v>0</v>
      </c>
      <c r="Q43" s="144">
        <v>0</v>
      </c>
      <c r="R43" s="164">
        <v>0</v>
      </c>
      <c r="S43" s="292"/>
      <c r="T43" s="293"/>
      <c r="U43" s="293"/>
      <c r="V43" s="293"/>
      <c r="W43" s="293"/>
      <c r="X43" s="293"/>
      <c r="Y43" s="293"/>
      <c r="Z43" s="294"/>
      <c r="AA43" s="155">
        <v>0</v>
      </c>
      <c r="AB43" s="143">
        <v>0</v>
      </c>
      <c r="AC43" s="143">
        <v>0</v>
      </c>
      <c r="AD43" s="156">
        <v>0</v>
      </c>
      <c r="AE43" s="155">
        <v>0</v>
      </c>
      <c r="AF43" s="143">
        <v>0</v>
      </c>
      <c r="AG43" s="144">
        <v>0</v>
      </c>
      <c r="AH43" s="164">
        <v>0</v>
      </c>
      <c r="AM43" s="64"/>
      <c r="AN43" s="64"/>
      <c r="AO43" s="64"/>
    </row>
    <row r="44" spans="1:41" ht="13.5" customHeight="1" thickBot="1" x14ac:dyDescent="0.25">
      <c r="B44" s="148" t="s">
        <v>129</v>
      </c>
      <c r="C44" s="143">
        <v>0</v>
      </c>
      <c r="D44" s="143">
        <v>17</v>
      </c>
      <c r="E44" s="143">
        <v>25</v>
      </c>
      <c r="F44" s="143">
        <v>31</v>
      </c>
      <c r="G44" s="143"/>
      <c r="H44" s="53"/>
      <c r="I44" s="80">
        <v>3</v>
      </c>
      <c r="J44" s="230">
        <v>10</v>
      </c>
      <c r="K44" s="155">
        <v>0</v>
      </c>
      <c r="L44" s="143">
        <v>0</v>
      </c>
      <c r="M44" s="143">
        <v>0</v>
      </c>
      <c r="N44" s="156">
        <v>0</v>
      </c>
      <c r="O44" s="155">
        <v>0</v>
      </c>
      <c r="P44" s="143">
        <v>0</v>
      </c>
      <c r="Q44" s="144">
        <v>0</v>
      </c>
      <c r="R44" s="164">
        <v>0</v>
      </c>
      <c r="S44" s="292"/>
      <c r="T44" s="293"/>
      <c r="U44" s="293"/>
      <c r="V44" s="293"/>
      <c r="W44" s="293"/>
      <c r="X44" s="293"/>
      <c r="Y44" s="293"/>
      <c r="Z44" s="294"/>
      <c r="AA44" s="155">
        <v>0</v>
      </c>
      <c r="AB44" s="143">
        <v>0</v>
      </c>
      <c r="AC44" s="143">
        <v>0</v>
      </c>
      <c r="AD44" s="156">
        <v>0</v>
      </c>
      <c r="AE44" s="155">
        <v>0</v>
      </c>
      <c r="AF44" s="143">
        <v>0</v>
      </c>
      <c r="AG44" s="144">
        <v>0</v>
      </c>
      <c r="AH44" s="164">
        <v>0</v>
      </c>
      <c r="AL44" s="284"/>
      <c r="AM44" s="65"/>
      <c r="AN44" s="65"/>
      <c r="AO44" s="65"/>
    </row>
    <row r="45" spans="1:41" ht="14.25" customHeight="1" thickBot="1" x14ac:dyDescent="0.25">
      <c r="B45" s="148" t="s">
        <v>130</v>
      </c>
      <c r="C45" s="143">
        <v>16</v>
      </c>
      <c r="D45" s="143">
        <v>24</v>
      </c>
      <c r="E45" s="143">
        <v>30</v>
      </c>
      <c r="F45" s="143">
        <v>33</v>
      </c>
      <c r="G45" s="143"/>
      <c r="H45" s="53"/>
      <c r="I45" s="80">
        <v>4</v>
      </c>
      <c r="J45" s="230">
        <v>11</v>
      </c>
      <c r="K45" s="155">
        <v>0</v>
      </c>
      <c r="L45" s="143">
        <v>0</v>
      </c>
      <c r="M45" s="143">
        <v>0</v>
      </c>
      <c r="N45" s="156">
        <v>0</v>
      </c>
      <c r="O45" s="155">
        <v>0</v>
      </c>
      <c r="P45" s="143">
        <v>0</v>
      </c>
      <c r="Q45" s="144">
        <v>0</v>
      </c>
      <c r="R45" s="164">
        <v>0</v>
      </c>
      <c r="S45" s="292"/>
      <c r="T45" s="293"/>
      <c r="U45" s="293"/>
      <c r="V45" s="293"/>
      <c r="W45" s="293"/>
      <c r="X45" s="293"/>
      <c r="Y45" s="293"/>
      <c r="Z45" s="294"/>
      <c r="AA45" s="155">
        <v>0</v>
      </c>
      <c r="AB45" s="143">
        <v>0</v>
      </c>
      <c r="AC45" s="143">
        <v>0</v>
      </c>
      <c r="AD45" s="156">
        <v>0</v>
      </c>
      <c r="AE45" s="155">
        <v>0</v>
      </c>
      <c r="AF45" s="143">
        <v>0</v>
      </c>
      <c r="AG45" s="144">
        <v>0</v>
      </c>
      <c r="AH45" s="164">
        <v>0</v>
      </c>
      <c r="AL45" s="284"/>
      <c r="AM45" s="65"/>
      <c r="AN45" s="65"/>
      <c r="AO45" s="65"/>
    </row>
    <row r="46" spans="1:41" ht="12.75" customHeight="1" thickBot="1" x14ac:dyDescent="0.25">
      <c r="A46" s="146"/>
      <c r="B46" s="148" t="s">
        <v>131</v>
      </c>
      <c r="C46" s="143">
        <v>0</v>
      </c>
      <c r="D46" s="143">
        <v>4</v>
      </c>
      <c r="E46" s="143">
        <v>7</v>
      </c>
      <c r="F46" s="143">
        <v>10</v>
      </c>
      <c r="G46" s="143">
        <v>13</v>
      </c>
      <c r="H46" s="53"/>
      <c r="I46" s="80">
        <v>5</v>
      </c>
      <c r="J46" s="230">
        <v>12</v>
      </c>
      <c r="K46" s="155">
        <v>0</v>
      </c>
      <c r="L46" s="143">
        <v>0</v>
      </c>
      <c r="M46" s="143">
        <v>0</v>
      </c>
      <c r="N46" s="156">
        <v>0</v>
      </c>
      <c r="O46" s="155">
        <v>0</v>
      </c>
      <c r="P46" s="143">
        <v>0</v>
      </c>
      <c r="Q46" s="144">
        <v>0</v>
      </c>
      <c r="R46" s="164">
        <v>0</v>
      </c>
      <c r="S46" s="292"/>
      <c r="T46" s="293"/>
      <c r="U46" s="293"/>
      <c r="V46" s="293"/>
      <c r="W46" s="293"/>
      <c r="X46" s="293"/>
      <c r="Y46" s="293"/>
      <c r="Z46" s="294"/>
      <c r="AA46" s="155">
        <v>0</v>
      </c>
      <c r="AB46" s="143">
        <v>0</v>
      </c>
      <c r="AC46" s="143">
        <v>0</v>
      </c>
      <c r="AD46" s="156">
        <v>0</v>
      </c>
      <c r="AE46" s="155">
        <v>0</v>
      </c>
      <c r="AF46" s="143">
        <v>0</v>
      </c>
      <c r="AG46" s="144">
        <v>0</v>
      </c>
      <c r="AH46" s="164">
        <v>0</v>
      </c>
      <c r="AL46" s="284"/>
      <c r="AM46" s="65"/>
      <c r="AN46" s="65"/>
      <c r="AO46" s="65"/>
    </row>
    <row r="47" spans="1:41" ht="13.5" customHeight="1" thickBot="1" x14ac:dyDescent="0.25">
      <c r="A47" s="146"/>
      <c r="B47" s="243" t="s">
        <v>132</v>
      </c>
      <c r="C47" s="244">
        <v>3</v>
      </c>
      <c r="D47" s="244">
        <v>6</v>
      </c>
      <c r="E47" s="244">
        <v>9</v>
      </c>
      <c r="F47" s="244">
        <v>12</v>
      </c>
      <c r="G47" s="244">
        <v>15</v>
      </c>
      <c r="H47" s="53"/>
      <c r="I47" s="80">
        <v>6</v>
      </c>
      <c r="J47" s="230">
        <v>13</v>
      </c>
      <c r="K47" s="155">
        <v>0</v>
      </c>
      <c r="L47" s="143">
        <v>0</v>
      </c>
      <c r="M47" s="143">
        <v>0</v>
      </c>
      <c r="N47" s="156">
        <v>0</v>
      </c>
      <c r="O47" s="155">
        <v>0</v>
      </c>
      <c r="P47" s="143">
        <v>0</v>
      </c>
      <c r="Q47" s="144">
        <v>0</v>
      </c>
      <c r="R47" s="164">
        <v>0</v>
      </c>
      <c r="S47" s="292"/>
      <c r="T47" s="293"/>
      <c r="U47" s="293"/>
      <c r="V47" s="293"/>
      <c r="W47" s="293"/>
      <c r="X47" s="293"/>
      <c r="Y47" s="293"/>
      <c r="Z47" s="294"/>
      <c r="AA47" s="155">
        <v>0</v>
      </c>
      <c r="AB47" s="143">
        <v>0</v>
      </c>
      <c r="AC47" s="143">
        <v>0</v>
      </c>
      <c r="AD47" s="156">
        <v>0</v>
      </c>
      <c r="AE47" s="155">
        <v>0</v>
      </c>
      <c r="AF47" s="143">
        <v>0</v>
      </c>
      <c r="AG47" s="144">
        <v>0</v>
      </c>
      <c r="AH47" s="164">
        <v>0</v>
      </c>
    </row>
    <row r="48" spans="1:41" ht="14.25" customHeight="1" thickBot="1" x14ac:dyDescent="0.25">
      <c r="A48" s="16"/>
      <c r="B48" s="217"/>
      <c r="C48" s="217"/>
      <c r="D48" s="217"/>
      <c r="E48" s="217"/>
      <c r="F48" s="217"/>
      <c r="G48" s="217"/>
      <c r="H48"/>
      <c r="I48" s="80">
        <v>7</v>
      </c>
      <c r="J48" s="230">
        <v>3</v>
      </c>
      <c r="K48" s="155">
        <v>0</v>
      </c>
      <c r="L48" s="143">
        <v>0</v>
      </c>
      <c r="M48" s="143">
        <v>0</v>
      </c>
      <c r="N48" s="156">
        <v>0</v>
      </c>
      <c r="O48" s="155">
        <v>0</v>
      </c>
      <c r="P48" s="143">
        <v>0</v>
      </c>
      <c r="Q48" s="144">
        <v>0</v>
      </c>
      <c r="R48" s="164">
        <v>0</v>
      </c>
      <c r="S48" s="292"/>
      <c r="T48" s="293"/>
      <c r="U48" s="293"/>
      <c r="V48" s="293"/>
      <c r="W48" s="293"/>
      <c r="X48" s="293"/>
      <c r="Y48" s="293"/>
      <c r="Z48" s="294"/>
      <c r="AA48" s="155">
        <v>0</v>
      </c>
      <c r="AB48" s="143">
        <v>0</v>
      </c>
      <c r="AC48" s="143">
        <v>0</v>
      </c>
      <c r="AD48" s="156">
        <v>0</v>
      </c>
      <c r="AE48" s="155">
        <v>0</v>
      </c>
      <c r="AF48" s="143">
        <v>0</v>
      </c>
      <c r="AG48" s="144">
        <v>0</v>
      </c>
      <c r="AH48" s="164">
        <v>0</v>
      </c>
      <c r="AL48" s="1"/>
      <c r="AM48" s="65"/>
      <c r="AN48" s="65"/>
      <c r="AO48" s="65"/>
    </row>
    <row r="49" spans="1:41" ht="16.5" customHeight="1" thickBot="1" x14ac:dyDescent="0.25">
      <c r="A49" s="16"/>
      <c r="E49"/>
      <c r="F49"/>
      <c r="I49" s="80">
        <v>8</v>
      </c>
      <c r="J49" s="230">
        <v>4</v>
      </c>
      <c r="K49" s="155">
        <v>0</v>
      </c>
      <c r="L49" s="143">
        <v>0</v>
      </c>
      <c r="M49" s="143">
        <v>0</v>
      </c>
      <c r="N49" s="156">
        <v>0</v>
      </c>
      <c r="O49" s="155">
        <v>0</v>
      </c>
      <c r="P49" s="143">
        <v>0</v>
      </c>
      <c r="Q49" s="144">
        <v>0</v>
      </c>
      <c r="R49" s="164">
        <v>0</v>
      </c>
      <c r="S49" s="292"/>
      <c r="T49" s="293"/>
      <c r="U49" s="293"/>
      <c r="V49" s="293"/>
      <c r="W49" s="293"/>
      <c r="X49" s="293"/>
      <c r="Y49" s="293"/>
      <c r="Z49" s="294"/>
      <c r="AA49" s="155">
        <v>0</v>
      </c>
      <c r="AB49" s="143">
        <v>0</v>
      </c>
      <c r="AC49" s="143">
        <v>0</v>
      </c>
      <c r="AD49" s="156">
        <v>0</v>
      </c>
      <c r="AE49" s="155">
        <v>0</v>
      </c>
      <c r="AF49" s="143">
        <v>0</v>
      </c>
      <c r="AG49" s="144">
        <v>0</v>
      </c>
      <c r="AH49" s="164">
        <v>0</v>
      </c>
    </row>
    <row r="50" spans="1:41" ht="15.75" customHeight="1" thickBot="1" x14ac:dyDescent="0.25">
      <c r="A50" s="2"/>
      <c r="I50" s="80">
        <v>9</v>
      </c>
      <c r="J50" s="230">
        <v>5</v>
      </c>
      <c r="K50" s="155">
        <v>0</v>
      </c>
      <c r="L50" s="143">
        <v>0</v>
      </c>
      <c r="M50" s="143">
        <v>0</v>
      </c>
      <c r="N50" s="156">
        <v>0</v>
      </c>
      <c r="O50" s="155">
        <v>0</v>
      </c>
      <c r="P50" s="143">
        <v>0</v>
      </c>
      <c r="Q50" s="144">
        <v>0</v>
      </c>
      <c r="R50" s="164">
        <v>0</v>
      </c>
      <c r="S50" s="292"/>
      <c r="T50" s="293"/>
      <c r="U50" s="293"/>
      <c r="V50" s="293"/>
      <c r="W50" s="293"/>
      <c r="X50" s="293"/>
      <c r="Y50" s="293"/>
      <c r="Z50" s="294"/>
      <c r="AA50" s="155">
        <v>0</v>
      </c>
      <c r="AB50" s="143">
        <v>0</v>
      </c>
      <c r="AC50" s="143">
        <v>0</v>
      </c>
      <c r="AD50" s="156">
        <v>0</v>
      </c>
      <c r="AE50" s="155">
        <v>0</v>
      </c>
      <c r="AF50" s="143">
        <v>0</v>
      </c>
      <c r="AG50" s="144">
        <v>0</v>
      </c>
      <c r="AH50" s="164">
        <v>0</v>
      </c>
    </row>
    <row r="51" spans="1:41" ht="14.25" customHeight="1" thickBot="1" x14ac:dyDescent="0.3">
      <c r="A51" s="2"/>
      <c r="I51" s="80">
        <v>10</v>
      </c>
      <c r="J51" s="230">
        <v>9</v>
      </c>
      <c r="K51" s="155">
        <v>0</v>
      </c>
      <c r="L51" s="143">
        <v>0</v>
      </c>
      <c r="M51" s="143">
        <v>0</v>
      </c>
      <c r="N51" s="156">
        <v>0</v>
      </c>
      <c r="O51" s="155">
        <v>0</v>
      </c>
      <c r="P51" s="143">
        <v>0</v>
      </c>
      <c r="Q51" s="144">
        <v>0</v>
      </c>
      <c r="R51" s="164">
        <v>0</v>
      </c>
      <c r="S51" s="292"/>
      <c r="T51" s="293"/>
      <c r="U51" s="293"/>
      <c r="V51" s="293"/>
      <c r="W51" s="293"/>
      <c r="X51" s="293"/>
      <c r="Y51" s="293"/>
      <c r="Z51" s="294"/>
      <c r="AA51" s="155">
        <v>0</v>
      </c>
      <c r="AB51" s="143">
        <v>0</v>
      </c>
      <c r="AC51" s="143">
        <v>0</v>
      </c>
      <c r="AD51" s="156">
        <v>0</v>
      </c>
      <c r="AE51" s="155">
        <v>0</v>
      </c>
      <c r="AF51" s="143">
        <v>0</v>
      </c>
      <c r="AG51" s="144">
        <v>0</v>
      </c>
      <c r="AH51" s="164">
        <v>0</v>
      </c>
      <c r="AM51" s="64"/>
      <c r="AN51" s="64"/>
      <c r="AO51" s="64"/>
    </row>
    <row r="52" spans="1:41" ht="13.5" customHeight="1" thickBot="1" x14ac:dyDescent="0.25">
      <c r="A52" s="2"/>
      <c r="I52" s="80">
        <v>11</v>
      </c>
      <c r="J52" s="230">
        <v>10</v>
      </c>
      <c r="K52" s="155">
        <v>0</v>
      </c>
      <c r="L52" s="143">
        <v>0</v>
      </c>
      <c r="M52" s="143">
        <v>0</v>
      </c>
      <c r="N52" s="156">
        <v>0</v>
      </c>
      <c r="O52" s="155">
        <v>0</v>
      </c>
      <c r="P52" s="143">
        <v>0</v>
      </c>
      <c r="Q52" s="144">
        <v>0</v>
      </c>
      <c r="R52" s="164">
        <v>0</v>
      </c>
      <c r="S52" s="292"/>
      <c r="T52" s="293"/>
      <c r="U52" s="293"/>
      <c r="V52" s="293"/>
      <c r="W52" s="293"/>
      <c r="X52" s="293"/>
      <c r="Y52" s="293"/>
      <c r="Z52" s="294"/>
      <c r="AA52" s="155">
        <v>0</v>
      </c>
      <c r="AB52" s="143">
        <v>0</v>
      </c>
      <c r="AC52" s="143">
        <v>0</v>
      </c>
      <c r="AD52" s="156">
        <v>0</v>
      </c>
      <c r="AE52" s="155">
        <v>0</v>
      </c>
      <c r="AF52" s="143">
        <v>0</v>
      </c>
      <c r="AG52" s="144">
        <v>0</v>
      </c>
      <c r="AH52" s="164">
        <v>0</v>
      </c>
      <c r="AL52" s="284"/>
      <c r="AM52" s="65"/>
      <c r="AN52" s="65"/>
      <c r="AO52" s="65"/>
    </row>
    <row r="53" spans="1:41" ht="15" customHeight="1" thickBot="1" x14ac:dyDescent="0.25">
      <c r="A53" s="2"/>
      <c r="I53" s="80">
        <v>12</v>
      </c>
      <c r="J53" s="230">
        <v>11</v>
      </c>
      <c r="K53" s="155">
        <v>0</v>
      </c>
      <c r="L53" s="143">
        <v>0</v>
      </c>
      <c r="M53" s="143">
        <v>0</v>
      </c>
      <c r="N53" s="156">
        <v>0</v>
      </c>
      <c r="O53" s="155">
        <v>0</v>
      </c>
      <c r="P53" s="143">
        <v>0</v>
      </c>
      <c r="Q53" s="144">
        <v>0</v>
      </c>
      <c r="R53" s="164">
        <v>0</v>
      </c>
      <c r="S53" s="292"/>
      <c r="T53" s="293"/>
      <c r="U53" s="293"/>
      <c r="V53" s="293"/>
      <c r="W53" s="293"/>
      <c r="X53" s="293"/>
      <c r="Y53" s="293"/>
      <c r="Z53" s="294"/>
      <c r="AA53" s="155">
        <v>0</v>
      </c>
      <c r="AB53" s="143">
        <v>0</v>
      </c>
      <c r="AC53" s="143">
        <v>0</v>
      </c>
      <c r="AD53" s="156">
        <v>0</v>
      </c>
      <c r="AE53" s="155">
        <v>0</v>
      </c>
      <c r="AF53" s="143">
        <v>0</v>
      </c>
      <c r="AG53" s="144">
        <v>0</v>
      </c>
      <c r="AH53" s="164">
        <v>0</v>
      </c>
      <c r="AL53" s="284"/>
      <c r="AM53" s="65"/>
      <c r="AN53" s="65"/>
      <c r="AO53" s="65"/>
    </row>
    <row r="54" spans="1:41" ht="14.25" customHeight="1" thickBot="1" x14ac:dyDescent="0.25">
      <c r="A54" s="2"/>
      <c r="I54" s="80">
        <v>13</v>
      </c>
      <c r="J54" s="231" t="s">
        <v>99</v>
      </c>
      <c r="K54" s="155">
        <v>0</v>
      </c>
      <c r="L54" s="143">
        <v>0</v>
      </c>
      <c r="M54" s="143">
        <v>0</v>
      </c>
      <c r="N54" s="156">
        <v>0</v>
      </c>
      <c r="O54" s="155">
        <v>0</v>
      </c>
      <c r="P54" s="143">
        <v>0</v>
      </c>
      <c r="Q54" s="144">
        <v>0</v>
      </c>
      <c r="R54" s="164">
        <v>0</v>
      </c>
      <c r="S54" s="292"/>
      <c r="T54" s="293"/>
      <c r="U54" s="293"/>
      <c r="V54" s="293"/>
      <c r="W54" s="293"/>
      <c r="X54" s="293"/>
      <c r="Y54" s="293"/>
      <c r="Z54" s="294"/>
      <c r="AA54" s="155">
        <v>0</v>
      </c>
      <c r="AB54" s="143">
        <v>0</v>
      </c>
      <c r="AC54" s="143">
        <v>0</v>
      </c>
      <c r="AD54" s="156">
        <v>0</v>
      </c>
      <c r="AE54" s="155">
        <v>0</v>
      </c>
      <c r="AF54" s="143">
        <v>0</v>
      </c>
      <c r="AG54" s="144">
        <v>0</v>
      </c>
      <c r="AH54" s="164">
        <v>0</v>
      </c>
      <c r="AL54" s="284"/>
      <c r="AM54" s="65"/>
      <c r="AN54" s="65"/>
      <c r="AO54" s="65"/>
    </row>
    <row r="55" spans="1:41" ht="14.25" customHeight="1" thickBot="1" x14ac:dyDescent="0.25">
      <c r="A55" s="2"/>
      <c r="I55" s="80">
        <v>14</v>
      </c>
      <c r="J55" s="231" t="s">
        <v>99</v>
      </c>
      <c r="K55" s="155">
        <v>0</v>
      </c>
      <c r="L55" s="143">
        <v>0</v>
      </c>
      <c r="M55" s="143">
        <v>0</v>
      </c>
      <c r="N55" s="156">
        <v>0</v>
      </c>
      <c r="O55" s="155">
        <v>0</v>
      </c>
      <c r="P55" s="143">
        <v>0</v>
      </c>
      <c r="Q55" s="144">
        <v>0</v>
      </c>
      <c r="R55" s="164">
        <v>0</v>
      </c>
      <c r="S55" s="292"/>
      <c r="T55" s="293"/>
      <c r="U55" s="293"/>
      <c r="V55" s="293"/>
      <c r="W55" s="293"/>
      <c r="X55" s="293"/>
      <c r="Y55" s="293"/>
      <c r="Z55" s="294"/>
      <c r="AA55" s="155">
        <v>0</v>
      </c>
      <c r="AB55" s="143">
        <v>0</v>
      </c>
      <c r="AC55" s="143">
        <v>0</v>
      </c>
      <c r="AD55" s="156">
        <v>0</v>
      </c>
      <c r="AE55" s="155">
        <v>0</v>
      </c>
      <c r="AF55" s="143">
        <v>0</v>
      </c>
      <c r="AG55" s="144">
        <v>0</v>
      </c>
      <c r="AH55" s="164">
        <v>0</v>
      </c>
    </row>
    <row r="56" spans="1:41" ht="15.75" customHeight="1" thickBot="1" x14ac:dyDescent="0.25">
      <c r="A56" s="2"/>
      <c r="I56" s="80">
        <v>15</v>
      </c>
      <c r="J56" s="231" t="s">
        <v>99</v>
      </c>
      <c r="K56" s="155">
        <v>0</v>
      </c>
      <c r="L56" s="143">
        <v>0</v>
      </c>
      <c r="M56" s="143">
        <v>0</v>
      </c>
      <c r="N56" s="156">
        <v>0</v>
      </c>
      <c r="O56" s="155">
        <v>0</v>
      </c>
      <c r="P56" s="143">
        <v>0</v>
      </c>
      <c r="Q56" s="144">
        <v>0</v>
      </c>
      <c r="R56" s="164">
        <v>0</v>
      </c>
      <c r="S56" s="292"/>
      <c r="T56" s="293"/>
      <c r="U56" s="293"/>
      <c r="V56" s="293"/>
      <c r="W56" s="293"/>
      <c r="X56" s="293"/>
      <c r="Y56" s="293"/>
      <c r="Z56" s="294"/>
      <c r="AA56" s="155">
        <v>0</v>
      </c>
      <c r="AB56" s="143">
        <v>0</v>
      </c>
      <c r="AC56" s="143">
        <v>0</v>
      </c>
      <c r="AD56" s="156">
        <v>0</v>
      </c>
      <c r="AE56" s="155">
        <v>0</v>
      </c>
      <c r="AF56" s="143">
        <v>0</v>
      </c>
      <c r="AG56" s="144">
        <v>0</v>
      </c>
      <c r="AH56" s="164">
        <v>0</v>
      </c>
      <c r="AL56" s="1"/>
      <c r="AM56" s="65"/>
      <c r="AN56" s="65"/>
      <c r="AO56" s="65"/>
    </row>
    <row r="57" spans="1:41" ht="15.75" customHeight="1" thickBot="1" x14ac:dyDescent="0.25">
      <c r="A57" s="2"/>
      <c r="I57" s="80">
        <v>16</v>
      </c>
      <c r="J57" s="231" t="s">
        <v>99</v>
      </c>
      <c r="K57" s="155">
        <v>0</v>
      </c>
      <c r="L57" s="143">
        <v>0</v>
      </c>
      <c r="M57" s="143">
        <v>0</v>
      </c>
      <c r="N57" s="156">
        <v>0</v>
      </c>
      <c r="O57" s="155">
        <v>0</v>
      </c>
      <c r="P57" s="143">
        <v>0</v>
      </c>
      <c r="Q57" s="144">
        <v>0</v>
      </c>
      <c r="R57" s="164">
        <v>0</v>
      </c>
      <c r="S57" s="292"/>
      <c r="T57" s="293"/>
      <c r="U57" s="293"/>
      <c r="V57" s="293"/>
      <c r="W57" s="293"/>
      <c r="X57" s="293"/>
      <c r="Y57" s="293"/>
      <c r="Z57" s="294"/>
      <c r="AA57" s="155">
        <v>0</v>
      </c>
      <c r="AB57" s="143">
        <v>0</v>
      </c>
      <c r="AC57" s="143">
        <v>0</v>
      </c>
      <c r="AD57" s="156">
        <v>0</v>
      </c>
      <c r="AE57" s="155">
        <v>0</v>
      </c>
      <c r="AF57" s="143">
        <v>0</v>
      </c>
      <c r="AG57" s="144">
        <v>0</v>
      </c>
      <c r="AH57" s="164">
        <v>0</v>
      </c>
    </row>
    <row r="58" spans="1:41" ht="16.5" customHeight="1" thickBot="1" x14ac:dyDescent="0.3">
      <c r="A58" s="2"/>
      <c r="I58" s="80">
        <v>17</v>
      </c>
      <c r="J58" s="231" t="s">
        <v>99</v>
      </c>
      <c r="K58" s="155">
        <v>0</v>
      </c>
      <c r="L58" s="143">
        <v>0</v>
      </c>
      <c r="M58" s="143">
        <v>0</v>
      </c>
      <c r="N58" s="156">
        <v>0</v>
      </c>
      <c r="O58" s="155">
        <v>0</v>
      </c>
      <c r="P58" s="143">
        <v>0</v>
      </c>
      <c r="Q58" s="143">
        <v>0</v>
      </c>
      <c r="R58" s="164">
        <v>0</v>
      </c>
      <c r="S58" s="292"/>
      <c r="T58" s="293"/>
      <c r="U58" s="293"/>
      <c r="V58" s="293"/>
      <c r="W58" s="293"/>
      <c r="X58" s="293"/>
      <c r="Y58" s="293"/>
      <c r="Z58" s="294"/>
      <c r="AA58" s="155">
        <v>0</v>
      </c>
      <c r="AB58" s="143">
        <v>0</v>
      </c>
      <c r="AC58" s="143">
        <v>0</v>
      </c>
      <c r="AD58" s="156">
        <v>0</v>
      </c>
      <c r="AE58" s="155">
        <v>0</v>
      </c>
      <c r="AF58" s="143">
        <v>0</v>
      </c>
      <c r="AG58" s="143">
        <v>0</v>
      </c>
      <c r="AH58" s="164">
        <v>0</v>
      </c>
      <c r="AM58" s="64"/>
      <c r="AN58" s="64"/>
      <c r="AO58" s="64"/>
    </row>
    <row r="59" spans="1:41" ht="15.75" customHeight="1" thickBot="1" x14ac:dyDescent="0.25">
      <c r="A59" s="2"/>
      <c r="I59" s="80">
        <v>18</v>
      </c>
      <c r="J59" s="231" t="s">
        <v>99</v>
      </c>
      <c r="K59" s="155">
        <v>0</v>
      </c>
      <c r="L59" s="143">
        <v>0</v>
      </c>
      <c r="M59" s="143">
        <v>0</v>
      </c>
      <c r="N59" s="156">
        <v>0</v>
      </c>
      <c r="O59" s="155">
        <v>0</v>
      </c>
      <c r="P59" s="143">
        <v>0</v>
      </c>
      <c r="Q59" s="143">
        <v>0</v>
      </c>
      <c r="R59" s="164">
        <v>0</v>
      </c>
      <c r="S59" s="292"/>
      <c r="T59" s="293"/>
      <c r="U59" s="293"/>
      <c r="V59" s="293"/>
      <c r="W59" s="293"/>
      <c r="X59" s="293"/>
      <c r="Y59" s="293"/>
      <c r="Z59" s="294"/>
      <c r="AA59" s="155">
        <v>0</v>
      </c>
      <c r="AB59" s="143">
        <v>0</v>
      </c>
      <c r="AC59" s="143">
        <v>0</v>
      </c>
      <c r="AD59" s="156">
        <v>0</v>
      </c>
      <c r="AE59" s="155">
        <v>0</v>
      </c>
      <c r="AF59" s="143">
        <v>0</v>
      </c>
      <c r="AG59" s="143">
        <v>0</v>
      </c>
      <c r="AH59" s="164">
        <v>0</v>
      </c>
      <c r="AL59" s="284"/>
      <c r="AM59" s="65"/>
      <c r="AN59" s="65"/>
      <c r="AO59" s="65"/>
    </row>
    <row r="60" spans="1:41" ht="15.75" customHeight="1" thickBot="1" x14ac:dyDescent="0.25">
      <c r="A60" s="2"/>
      <c r="I60" s="80">
        <v>19</v>
      </c>
      <c r="J60" s="231" t="s">
        <v>99</v>
      </c>
      <c r="K60" s="155">
        <v>0</v>
      </c>
      <c r="L60" s="143">
        <v>0</v>
      </c>
      <c r="M60" s="143">
        <v>0</v>
      </c>
      <c r="N60" s="156">
        <v>0</v>
      </c>
      <c r="O60" s="155">
        <v>0</v>
      </c>
      <c r="P60" s="143">
        <v>0</v>
      </c>
      <c r="Q60" s="143">
        <v>0</v>
      </c>
      <c r="R60" s="164">
        <v>0</v>
      </c>
      <c r="S60" s="292"/>
      <c r="T60" s="293"/>
      <c r="U60" s="293"/>
      <c r="V60" s="293"/>
      <c r="W60" s="293"/>
      <c r="X60" s="293"/>
      <c r="Y60" s="293"/>
      <c r="Z60" s="294"/>
      <c r="AA60" s="155">
        <v>0</v>
      </c>
      <c r="AB60" s="143">
        <v>0</v>
      </c>
      <c r="AC60" s="143">
        <v>0</v>
      </c>
      <c r="AD60" s="156">
        <v>0</v>
      </c>
      <c r="AE60" s="155">
        <v>0</v>
      </c>
      <c r="AF60" s="143">
        <v>0</v>
      </c>
      <c r="AG60" s="143">
        <v>0</v>
      </c>
      <c r="AH60" s="164">
        <v>0</v>
      </c>
      <c r="AL60" s="284"/>
      <c r="AM60" s="65"/>
      <c r="AN60" s="65"/>
      <c r="AO60" s="65"/>
    </row>
    <row r="61" spans="1:41" ht="13.5" customHeight="1" thickBot="1" x14ac:dyDescent="0.25">
      <c r="A61" s="2"/>
      <c r="I61" s="80">
        <v>20</v>
      </c>
      <c r="J61" s="231" t="s">
        <v>99</v>
      </c>
      <c r="K61" s="155">
        <v>0</v>
      </c>
      <c r="L61" s="143">
        <v>0</v>
      </c>
      <c r="M61" s="143">
        <v>0</v>
      </c>
      <c r="N61" s="156">
        <v>0</v>
      </c>
      <c r="O61" s="155">
        <v>0</v>
      </c>
      <c r="P61" s="143">
        <v>0</v>
      </c>
      <c r="Q61" s="143">
        <v>0</v>
      </c>
      <c r="R61" s="164">
        <v>0</v>
      </c>
      <c r="S61" s="292"/>
      <c r="T61" s="293"/>
      <c r="U61" s="293"/>
      <c r="V61" s="293"/>
      <c r="W61" s="293"/>
      <c r="X61" s="293"/>
      <c r="Y61" s="293"/>
      <c r="Z61" s="294"/>
      <c r="AA61" s="155">
        <v>0</v>
      </c>
      <c r="AB61" s="143">
        <v>0</v>
      </c>
      <c r="AC61" s="143">
        <v>0</v>
      </c>
      <c r="AD61" s="156">
        <v>0</v>
      </c>
      <c r="AE61" s="155">
        <v>0</v>
      </c>
      <c r="AF61" s="143">
        <v>0</v>
      </c>
      <c r="AG61" s="143">
        <v>0</v>
      </c>
      <c r="AH61" s="164">
        <v>0</v>
      </c>
      <c r="AL61" s="284"/>
    </row>
    <row r="62" spans="1:41" ht="13.5" customHeight="1" thickBot="1" x14ac:dyDescent="0.25">
      <c r="A62" s="2"/>
      <c r="I62" s="80">
        <v>21</v>
      </c>
      <c r="J62" s="232" t="s">
        <v>99</v>
      </c>
      <c r="K62" s="162">
        <v>0</v>
      </c>
      <c r="L62" s="160">
        <v>0</v>
      </c>
      <c r="M62" s="160">
        <v>0</v>
      </c>
      <c r="N62" s="156">
        <v>0</v>
      </c>
      <c r="O62" s="155">
        <v>0</v>
      </c>
      <c r="P62" s="160">
        <v>0</v>
      </c>
      <c r="Q62" s="160">
        <v>0</v>
      </c>
      <c r="R62" s="165">
        <v>0</v>
      </c>
      <c r="S62" s="295"/>
      <c r="T62" s="296"/>
      <c r="U62" s="296"/>
      <c r="V62" s="296"/>
      <c r="W62" s="296"/>
      <c r="X62" s="296"/>
      <c r="Y62" s="296"/>
      <c r="Z62" s="297"/>
      <c r="AA62" s="162">
        <v>0</v>
      </c>
      <c r="AB62" s="160">
        <v>0</v>
      </c>
      <c r="AC62" s="160">
        <v>0</v>
      </c>
      <c r="AD62" s="157">
        <v>0</v>
      </c>
      <c r="AE62" s="162">
        <v>0</v>
      </c>
      <c r="AF62" s="160">
        <v>0</v>
      </c>
      <c r="AG62" s="160">
        <v>0</v>
      </c>
      <c r="AH62" s="225">
        <v>0</v>
      </c>
      <c r="AI62" s="142"/>
    </row>
    <row r="63" spans="1:41" ht="51" customHeight="1" thickBot="1" x14ac:dyDescent="0.25">
      <c r="A63" s="2"/>
      <c r="I63" s="223" t="s">
        <v>100</v>
      </c>
      <c r="J63" s="229"/>
      <c r="K63" s="228" t="s">
        <v>89</v>
      </c>
      <c r="L63" s="82" t="s">
        <v>90</v>
      </c>
      <c r="M63" s="82" t="s">
        <v>91</v>
      </c>
      <c r="N63" s="82" t="s">
        <v>92</v>
      </c>
      <c r="O63" s="82" t="s">
        <v>93</v>
      </c>
      <c r="P63" s="82" t="s">
        <v>94</v>
      </c>
      <c r="Q63" s="82" t="s">
        <v>95</v>
      </c>
      <c r="R63" s="198" t="s">
        <v>96</v>
      </c>
      <c r="S63" s="199" t="s">
        <v>89</v>
      </c>
      <c r="T63" s="82" t="s">
        <v>90</v>
      </c>
      <c r="U63" s="82" t="s">
        <v>91</v>
      </c>
      <c r="V63" s="82" t="s">
        <v>92</v>
      </c>
      <c r="W63" s="82" t="s">
        <v>93</v>
      </c>
      <c r="X63" s="82" t="s">
        <v>94</v>
      </c>
      <c r="Y63" s="82" t="s">
        <v>95</v>
      </c>
      <c r="Z63" s="198" t="s">
        <v>96</v>
      </c>
      <c r="AA63" s="199" t="s">
        <v>89</v>
      </c>
      <c r="AB63" s="82" t="s">
        <v>90</v>
      </c>
      <c r="AC63" s="82" t="s">
        <v>91</v>
      </c>
      <c r="AD63" s="82" t="s">
        <v>92</v>
      </c>
      <c r="AE63" s="82" t="s">
        <v>93</v>
      </c>
      <c r="AF63" s="82" t="s">
        <v>94</v>
      </c>
      <c r="AG63" s="82" t="s">
        <v>95</v>
      </c>
      <c r="AH63" s="82" t="s">
        <v>96</v>
      </c>
    </row>
    <row r="64" spans="1:41" ht="18" customHeight="1" thickBot="1" x14ac:dyDescent="0.25">
      <c r="A64" s="2"/>
      <c r="I64" s="79">
        <v>0</v>
      </c>
      <c r="J64" s="230">
        <v>36</v>
      </c>
      <c r="K64" s="158">
        <v>0</v>
      </c>
      <c r="L64" s="151">
        <v>0</v>
      </c>
      <c r="M64" s="151">
        <v>0</v>
      </c>
      <c r="N64" s="144">
        <v>0</v>
      </c>
      <c r="O64" s="154">
        <v>0</v>
      </c>
      <c r="P64" s="151">
        <v>0</v>
      </c>
      <c r="Q64" s="152">
        <v>0</v>
      </c>
      <c r="R64" s="163">
        <v>0</v>
      </c>
      <c r="S64" s="158">
        <v>0</v>
      </c>
      <c r="T64" s="151">
        <v>0</v>
      </c>
      <c r="U64" s="151">
        <v>0</v>
      </c>
      <c r="V64" s="159">
        <v>0</v>
      </c>
      <c r="W64" s="158">
        <v>0</v>
      </c>
      <c r="X64" s="151">
        <v>0</v>
      </c>
      <c r="Y64" s="152">
        <v>0</v>
      </c>
      <c r="Z64" s="163">
        <v>0</v>
      </c>
      <c r="AA64" s="158">
        <v>0</v>
      </c>
      <c r="AB64" s="151">
        <v>0</v>
      </c>
      <c r="AC64" s="151">
        <v>0</v>
      </c>
      <c r="AD64" s="159">
        <v>0</v>
      </c>
      <c r="AE64" s="158">
        <v>0</v>
      </c>
      <c r="AF64" s="151">
        <v>0</v>
      </c>
      <c r="AG64" s="152">
        <v>0</v>
      </c>
      <c r="AH64" s="163">
        <v>0</v>
      </c>
      <c r="AL64" s="1"/>
      <c r="AM64" s="65"/>
      <c r="AN64" s="65"/>
      <c r="AO64" s="65"/>
    </row>
    <row r="65" spans="1:42" ht="18" customHeight="1" thickBot="1" x14ac:dyDescent="0.25">
      <c r="A65" s="2"/>
      <c r="I65" s="80">
        <v>1</v>
      </c>
      <c r="J65" s="230">
        <v>40</v>
      </c>
      <c r="K65" s="155">
        <v>0</v>
      </c>
      <c r="L65" s="143">
        <v>0</v>
      </c>
      <c r="M65" s="143">
        <v>0</v>
      </c>
      <c r="N65" s="156">
        <v>0</v>
      </c>
      <c r="O65" s="155">
        <v>0</v>
      </c>
      <c r="P65" s="143">
        <v>0</v>
      </c>
      <c r="Q65" s="144">
        <v>0</v>
      </c>
      <c r="R65" s="163">
        <v>0</v>
      </c>
      <c r="S65" s="155">
        <v>0</v>
      </c>
      <c r="T65" s="143">
        <v>0</v>
      </c>
      <c r="U65" s="143">
        <v>0</v>
      </c>
      <c r="V65" s="156">
        <v>0</v>
      </c>
      <c r="W65" s="155">
        <v>0</v>
      </c>
      <c r="X65" s="143">
        <v>0</v>
      </c>
      <c r="Y65" s="144">
        <v>0</v>
      </c>
      <c r="Z65" s="164">
        <v>0</v>
      </c>
      <c r="AA65" s="155">
        <v>0</v>
      </c>
      <c r="AB65" s="143">
        <v>0</v>
      </c>
      <c r="AC65" s="143">
        <v>0</v>
      </c>
      <c r="AD65" s="156">
        <v>0</v>
      </c>
      <c r="AE65" s="155">
        <v>0</v>
      </c>
      <c r="AF65" s="143">
        <v>0</v>
      </c>
      <c r="AG65" s="144">
        <v>0</v>
      </c>
      <c r="AH65" s="164">
        <v>0</v>
      </c>
    </row>
    <row r="66" spans="1:42" ht="19.5" thickBot="1" x14ac:dyDescent="0.25">
      <c r="A66" s="2"/>
      <c r="I66" s="80">
        <v>2</v>
      </c>
      <c r="J66" s="230">
        <v>48</v>
      </c>
      <c r="K66" s="155">
        <v>0</v>
      </c>
      <c r="L66" s="143">
        <v>0</v>
      </c>
      <c r="M66" s="143">
        <v>0</v>
      </c>
      <c r="N66" s="156">
        <v>0</v>
      </c>
      <c r="O66" s="155">
        <v>0</v>
      </c>
      <c r="P66" s="143">
        <v>0</v>
      </c>
      <c r="Q66" s="144">
        <v>0</v>
      </c>
      <c r="R66" s="163">
        <v>0</v>
      </c>
      <c r="S66" s="155">
        <v>0</v>
      </c>
      <c r="T66" s="143">
        <v>0</v>
      </c>
      <c r="U66" s="143">
        <v>0</v>
      </c>
      <c r="V66" s="156">
        <v>0</v>
      </c>
      <c r="W66" s="155">
        <v>0</v>
      </c>
      <c r="X66" s="143">
        <v>0</v>
      </c>
      <c r="Y66" s="144">
        <v>0</v>
      </c>
      <c r="Z66" s="164">
        <v>0</v>
      </c>
      <c r="AA66" s="155">
        <v>0</v>
      </c>
      <c r="AB66" s="143">
        <v>0</v>
      </c>
      <c r="AC66" s="143">
        <v>0</v>
      </c>
      <c r="AD66" s="156">
        <v>0</v>
      </c>
      <c r="AE66" s="155">
        <v>0</v>
      </c>
      <c r="AF66" s="143">
        <v>0</v>
      </c>
      <c r="AG66" s="144">
        <v>0</v>
      </c>
      <c r="AH66" s="164">
        <v>0</v>
      </c>
    </row>
    <row r="67" spans="1:42" ht="13.5" customHeight="1" thickBot="1" x14ac:dyDescent="0.25">
      <c r="A67" s="2"/>
      <c r="I67" s="80">
        <v>3</v>
      </c>
      <c r="J67" s="230">
        <v>52</v>
      </c>
      <c r="K67" s="155">
        <v>0</v>
      </c>
      <c r="L67" s="143">
        <v>0</v>
      </c>
      <c r="M67" s="143">
        <v>0</v>
      </c>
      <c r="N67" s="156">
        <v>0</v>
      </c>
      <c r="O67" s="155">
        <v>0</v>
      </c>
      <c r="P67" s="143">
        <v>0</v>
      </c>
      <c r="Q67" s="144">
        <v>0</v>
      </c>
      <c r="R67" s="163">
        <v>0</v>
      </c>
      <c r="S67" s="155">
        <v>0</v>
      </c>
      <c r="T67" s="143">
        <v>0</v>
      </c>
      <c r="U67" s="143">
        <v>0</v>
      </c>
      <c r="V67" s="156">
        <v>0</v>
      </c>
      <c r="W67" s="155">
        <v>0</v>
      </c>
      <c r="X67" s="143">
        <v>0</v>
      </c>
      <c r="Y67" s="144">
        <v>0</v>
      </c>
      <c r="Z67" s="164">
        <v>0</v>
      </c>
      <c r="AA67" s="155">
        <v>0</v>
      </c>
      <c r="AB67" s="143">
        <v>0</v>
      </c>
      <c r="AC67" s="143">
        <v>0</v>
      </c>
      <c r="AD67" s="156">
        <v>0</v>
      </c>
      <c r="AE67" s="155">
        <v>0</v>
      </c>
      <c r="AF67" s="143">
        <v>0</v>
      </c>
      <c r="AG67" s="144">
        <v>0</v>
      </c>
      <c r="AH67" s="164">
        <v>0</v>
      </c>
    </row>
    <row r="68" spans="1:42" ht="19.5" thickBot="1" x14ac:dyDescent="0.25">
      <c r="A68" s="2"/>
      <c r="I68" s="80">
        <v>4</v>
      </c>
      <c r="J68" s="230">
        <v>60</v>
      </c>
      <c r="K68" s="155">
        <v>0</v>
      </c>
      <c r="L68" s="143">
        <v>0</v>
      </c>
      <c r="M68" s="143">
        <v>0</v>
      </c>
      <c r="N68" s="156">
        <v>0</v>
      </c>
      <c r="O68" s="155">
        <v>0</v>
      </c>
      <c r="P68" s="143">
        <v>0</v>
      </c>
      <c r="Q68" s="144">
        <v>0</v>
      </c>
      <c r="R68" s="163">
        <v>0</v>
      </c>
      <c r="S68" s="155">
        <v>0</v>
      </c>
      <c r="T68" s="143">
        <v>0</v>
      </c>
      <c r="U68" s="143">
        <v>0</v>
      </c>
      <c r="V68" s="156">
        <v>0</v>
      </c>
      <c r="W68" s="155">
        <v>0</v>
      </c>
      <c r="X68" s="143">
        <v>0</v>
      </c>
      <c r="Y68" s="144">
        <v>0</v>
      </c>
      <c r="Z68" s="164">
        <v>0</v>
      </c>
      <c r="AA68" s="155">
        <v>0</v>
      </c>
      <c r="AB68" s="143">
        <v>0</v>
      </c>
      <c r="AC68" s="143">
        <v>0</v>
      </c>
      <c r="AD68" s="156">
        <v>0</v>
      </c>
      <c r="AE68" s="155">
        <v>0</v>
      </c>
      <c r="AF68" s="143">
        <v>0</v>
      </c>
      <c r="AG68" s="144">
        <v>0</v>
      </c>
      <c r="AH68" s="164">
        <v>0</v>
      </c>
    </row>
    <row r="69" spans="1:42" ht="19.5" thickBot="1" x14ac:dyDescent="0.25">
      <c r="A69" s="2"/>
      <c r="I69" s="80">
        <v>5</v>
      </c>
      <c r="J69" s="230">
        <v>64</v>
      </c>
      <c r="K69" s="155">
        <v>0</v>
      </c>
      <c r="L69" s="143">
        <v>0</v>
      </c>
      <c r="M69" s="143">
        <v>0</v>
      </c>
      <c r="N69" s="156">
        <v>0</v>
      </c>
      <c r="O69" s="155">
        <v>0</v>
      </c>
      <c r="P69" s="143">
        <v>0</v>
      </c>
      <c r="Q69" s="144">
        <v>0</v>
      </c>
      <c r="R69" s="163">
        <v>0</v>
      </c>
      <c r="S69" s="155">
        <v>0</v>
      </c>
      <c r="T69" s="143">
        <v>0</v>
      </c>
      <c r="U69" s="143">
        <v>0</v>
      </c>
      <c r="V69" s="156">
        <v>0</v>
      </c>
      <c r="W69" s="155">
        <v>0</v>
      </c>
      <c r="X69" s="143">
        <v>0</v>
      </c>
      <c r="Y69" s="144">
        <v>0</v>
      </c>
      <c r="Z69" s="164">
        <v>0</v>
      </c>
      <c r="AA69" s="155">
        <v>0</v>
      </c>
      <c r="AB69" s="143">
        <v>0</v>
      </c>
      <c r="AC69" s="143">
        <v>0</v>
      </c>
      <c r="AD69" s="156">
        <v>0</v>
      </c>
      <c r="AE69" s="155">
        <v>0</v>
      </c>
      <c r="AF69" s="143">
        <v>0</v>
      </c>
      <c r="AG69" s="144">
        <v>0</v>
      </c>
      <c r="AH69" s="164">
        <v>0</v>
      </c>
    </row>
    <row r="70" spans="1:42" ht="16.5" customHeight="1" thickBot="1" x14ac:dyDescent="0.25">
      <c r="A70" s="2"/>
      <c r="I70" s="80">
        <v>6</v>
      </c>
      <c r="J70" s="230">
        <v>100</v>
      </c>
      <c r="K70" s="155">
        <v>0</v>
      </c>
      <c r="L70" s="143">
        <v>0</v>
      </c>
      <c r="M70" s="143">
        <v>0</v>
      </c>
      <c r="N70" s="156">
        <v>0</v>
      </c>
      <c r="O70" s="155">
        <v>0</v>
      </c>
      <c r="P70" s="143">
        <v>0</v>
      </c>
      <c r="Q70" s="144">
        <v>0</v>
      </c>
      <c r="R70" s="163">
        <v>0</v>
      </c>
      <c r="S70" s="155">
        <v>0</v>
      </c>
      <c r="T70" s="143">
        <v>0</v>
      </c>
      <c r="U70" s="143">
        <v>0</v>
      </c>
      <c r="V70" s="156">
        <v>0</v>
      </c>
      <c r="W70" s="155">
        <v>0</v>
      </c>
      <c r="X70" s="143">
        <v>0</v>
      </c>
      <c r="Y70" s="144">
        <v>0</v>
      </c>
      <c r="Z70" s="164">
        <v>0</v>
      </c>
      <c r="AA70" s="155">
        <v>0</v>
      </c>
      <c r="AB70" s="143">
        <v>0</v>
      </c>
      <c r="AC70" s="143">
        <v>0</v>
      </c>
      <c r="AD70" s="156">
        <v>0</v>
      </c>
      <c r="AE70" s="155">
        <v>0</v>
      </c>
      <c r="AF70" s="143">
        <v>0</v>
      </c>
      <c r="AG70" s="144">
        <v>0</v>
      </c>
      <c r="AH70" s="164">
        <v>0</v>
      </c>
    </row>
    <row r="71" spans="1:42" ht="15.75" customHeight="1" thickBot="1" x14ac:dyDescent="0.25">
      <c r="A71" s="2"/>
      <c r="I71" s="80">
        <v>7</v>
      </c>
      <c r="J71" s="230">
        <v>104</v>
      </c>
      <c r="K71" s="155">
        <v>0</v>
      </c>
      <c r="L71" s="143">
        <v>0</v>
      </c>
      <c r="M71" s="143">
        <v>0</v>
      </c>
      <c r="N71" s="156">
        <v>0</v>
      </c>
      <c r="O71" s="155">
        <v>0</v>
      </c>
      <c r="P71" s="143">
        <v>0</v>
      </c>
      <c r="Q71" s="144">
        <v>0</v>
      </c>
      <c r="R71" s="163">
        <v>0</v>
      </c>
      <c r="S71" s="155">
        <v>0</v>
      </c>
      <c r="T71" s="143">
        <v>0</v>
      </c>
      <c r="U71" s="143">
        <v>0</v>
      </c>
      <c r="V71" s="156">
        <v>0</v>
      </c>
      <c r="W71" s="155">
        <v>0</v>
      </c>
      <c r="X71" s="143">
        <v>0</v>
      </c>
      <c r="Y71" s="144">
        <v>0</v>
      </c>
      <c r="Z71" s="164">
        <v>0</v>
      </c>
      <c r="AA71" s="155">
        <v>0</v>
      </c>
      <c r="AB71" s="143">
        <v>0</v>
      </c>
      <c r="AC71" s="143">
        <v>0</v>
      </c>
      <c r="AD71" s="156">
        <v>0</v>
      </c>
      <c r="AE71" s="155">
        <v>0</v>
      </c>
      <c r="AF71" s="143">
        <v>0</v>
      </c>
      <c r="AG71" s="144">
        <v>0</v>
      </c>
      <c r="AH71" s="164">
        <v>0</v>
      </c>
    </row>
    <row r="72" spans="1:42" ht="14.25" customHeight="1" thickBot="1" x14ac:dyDescent="0.25">
      <c r="A72" s="2"/>
      <c r="I72" s="80">
        <v>8</v>
      </c>
      <c r="J72" s="230">
        <v>136</v>
      </c>
      <c r="K72" s="155">
        <v>0</v>
      </c>
      <c r="L72" s="143">
        <v>0</v>
      </c>
      <c r="M72" s="143">
        <v>0</v>
      </c>
      <c r="N72" s="156">
        <v>0</v>
      </c>
      <c r="O72" s="155">
        <v>0</v>
      </c>
      <c r="P72" s="143">
        <v>0</v>
      </c>
      <c r="Q72" s="144">
        <v>0</v>
      </c>
      <c r="R72" s="163">
        <v>0</v>
      </c>
      <c r="S72" s="155">
        <v>0</v>
      </c>
      <c r="T72" s="143">
        <v>0</v>
      </c>
      <c r="U72" s="143">
        <v>0</v>
      </c>
      <c r="V72" s="156">
        <v>0</v>
      </c>
      <c r="W72" s="155">
        <v>0</v>
      </c>
      <c r="X72" s="143">
        <v>0</v>
      </c>
      <c r="Y72" s="144">
        <v>0</v>
      </c>
      <c r="Z72" s="164">
        <v>0</v>
      </c>
      <c r="AA72" s="155">
        <v>0</v>
      </c>
      <c r="AB72" s="143">
        <v>0</v>
      </c>
      <c r="AC72" s="143">
        <v>0</v>
      </c>
      <c r="AD72" s="156">
        <v>0</v>
      </c>
      <c r="AE72" s="155">
        <v>0</v>
      </c>
      <c r="AF72" s="143">
        <v>0</v>
      </c>
      <c r="AG72" s="144">
        <v>0</v>
      </c>
      <c r="AH72" s="164">
        <v>0</v>
      </c>
    </row>
    <row r="73" spans="1:42" ht="19.5" thickBot="1" x14ac:dyDescent="0.25">
      <c r="A73" s="2"/>
      <c r="I73" s="80">
        <v>9</v>
      </c>
      <c r="J73" s="230">
        <v>140</v>
      </c>
      <c r="K73" s="155">
        <v>0</v>
      </c>
      <c r="L73" s="143">
        <v>0</v>
      </c>
      <c r="M73" s="143">
        <v>0</v>
      </c>
      <c r="N73" s="156">
        <v>0</v>
      </c>
      <c r="O73" s="155">
        <v>0</v>
      </c>
      <c r="P73" s="143">
        <v>0</v>
      </c>
      <c r="Q73" s="144">
        <v>0</v>
      </c>
      <c r="R73" s="163">
        <v>0</v>
      </c>
      <c r="S73" s="155">
        <v>0</v>
      </c>
      <c r="T73" s="143">
        <v>0</v>
      </c>
      <c r="U73" s="143">
        <v>0</v>
      </c>
      <c r="V73" s="156">
        <v>0</v>
      </c>
      <c r="W73" s="155">
        <v>0</v>
      </c>
      <c r="X73" s="143">
        <v>0</v>
      </c>
      <c r="Y73" s="144">
        <v>0</v>
      </c>
      <c r="Z73" s="164">
        <v>0</v>
      </c>
      <c r="AA73" s="155">
        <v>0</v>
      </c>
      <c r="AB73" s="143">
        <v>0</v>
      </c>
      <c r="AC73" s="143">
        <v>0</v>
      </c>
      <c r="AD73" s="156">
        <v>0</v>
      </c>
      <c r="AE73" s="155">
        <v>0</v>
      </c>
      <c r="AF73" s="143">
        <v>0</v>
      </c>
      <c r="AG73" s="144">
        <v>0</v>
      </c>
      <c r="AH73" s="164">
        <v>0</v>
      </c>
    </row>
    <row r="74" spans="1:42" ht="19.5" thickBot="1" x14ac:dyDescent="0.3">
      <c r="A74" s="2"/>
      <c r="I74" s="80">
        <v>10</v>
      </c>
      <c r="J74" s="230">
        <v>144</v>
      </c>
      <c r="K74" s="155">
        <v>0</v>
      </c>
      <c r="L74" s="143">
        <v>0</v>
      </c>
      <c r="M74" s="143">
        <v>0</v>
      </c>
      <c r="N74" s="156">
        <v>0</v>
      </c>
      <c r="O74" s="155">
        <v>0</v>
      </c>
      <c r="P74" s="143">
        <v>0</v>
      </c>
      <c r="Q74" s="144">
        <v>0</v>
      </c>
      <c r="R74" s="163">
        <v>0</v>
      </c>
      <c r="S74" s="155">
        <v>0</v>
      </c>
      <c r="T74" s="143">
        <v>0</v>
      </c>
      <c r="U74" s="143">
        <v>0</v>
      </c>
      <c r="V74" s="156">
        <v>0</v>
      </c>
      <c r="W74" s="155">
        <v>0</v>
      </c>
      <c r="X74" s="143">
        <v>0</v>
      </c>
      <c r="Y74" s="144">
        <v>0</v>
      </c>
      <c r="Z74" s="164">
        <v>0</v>
      </c>
      <c r="AA74" s="155">
        <v>0</v>
      </c>
      <c r="AB74" s="143">
        <v>0</v>
      </c>
      <c r="AC74" s="143">
        <v>0</v>
      </c>
      <c r="AD74" s="156">
        <v>0</v>
      </c>
      <c r="AE74" s="155">
        <v>0</v>
      </c>
      <c r="AF74" s="143">
        <v>0</v>
      </c>
      <c r="AG74" s="144">
        <v>0</v>
      </c>
      <c r="AH74" s="164">
        <v>0</v>
      </c>
      <c r="AI74" s="40"/>
      <c r="AM74" s="40"/>
      <c r="AN74" s="40"/>
      <c r="AO74" s="40"/>
      <c r="AP74" s="40"/>
    </row>
    <row r="75" spans="1:42" ht="19.5" thickBot="1" x14ac:dyDescent="0.3">
      <c r="A75" s="2"/>
      <c r="I75" s="80">
        <v>11</v>
      </c>
      <c r="J75" s="230">
        <v>149</v>
      </c>
      <c r="K75" s="155">
        <v>0</v>
      </c>
      <c r="L75" s="143">
        <v>0</v>
      </c>
      <c r="M75" s="143">
        <v>0</v>
      </c>
      <c r="N75" s="156">
        <v>0</v>
      </c>
      <c r="O75" s="155">
        <v>0</v>
      </c>
      <c r="P75" s="143">
        <v>0</v>
      </c>
      <c r="Q75" s="144">
        <v>0</v>
      </c>
      <c r="R75" s="163">
        <v>0</v>
      </c>
      <c r="S75" s="155">
        <v>0</v>
      </c>
      <c r="T75" s="143">
        <v>0</v>
      </c>
      <c r="U75" s="143">
        <v>0</v>
      </c>
      <c r="V75" s="156">
        <v>0</v>
      </c>
      <c r="W75" s="155">
        <v>0</v>
      </c>
      <c r="X75" s="143">
        <v>0</v>
      </c>
      <c r="Y75" s="144">
        <v>0</v>
      </c>
      <c r="Z75" s="164">
        <v>0</v>
      </c>
      <c r="AA75" s="155">
        <v>0</v>
      </c>
      <c r="AB75" s="143">
        <v>0</v>
      </c>
      <c r="AC75" s="143">
        <v>0</v>
      </c>
      <c r="AD75" s="156">
        <v>0</v>
      </c>
      <c r="AE75" s="155">
        <v>0</v>
      </c>
      <c r="AF75" s="143">
        <v>0</v>
      </c>
      <c r="AG75" s="144">
        <v>0</v>
      </c>
      <c r="AH75" s="164">
        <v>0</v>
      </c>
      <c r="AI75" s="40"/>
      <c r="AM75" s="40"/>
      <c r="AN75" s="40"/>
      <c r="AO75" s="40"/>
      <c r="AP75" s="40"/>
    </row>
    <row r="76" spans="1:42" ht="19.5" thickBot="1" x14ac:dyDescent="0.3">
      <c r="A76" s="2"/>
      <c r="I76" s="80">
        <v>12</v>
      </c>
      <c r="J76" s="230">
        <v>153</v>
      </c>
      <c r="K76" s="155">
        <v>0</v>
      </c>
      <c r="L76" s="143">
        <v>0</v>
      </c>
      <c r="M76" s="143">
        <v>0</v>
      </c>
      <c r="N76" s="156">
        <v>0</v>
      </c>
      <c r="O76" s="155">
        <v>0</v>
      </c>
      <c r="P76" s="143">
        <v>0</v>
      </c>
      <c r="Q76" s="144">
        <v>0</v>
      </c>
      <c r="R76" s="163">
        <v>0</v>
      </c>
      <c r="S76" s="155">
        <v>0</v>
      </c>
      <c r="T76" s="143">
        <v>0</v>
      </c>
      <c r="U76" s="143">
        <v>0</v>
      </c>
      <c r="V76" s="156">
        <v>0</v>
      </c>
      <c r="W76" s="155">
        <v>0</v>
      </c>
      <c r="X76" s="143">
        <v>0</v>
      </c>
      <c r="Y76" s="144">
        <v>0</v>
      </c>
      <c r="Z76" s="164">
        <v>0</v>
      </c>
      <c r="AA76" s="155">
        <v>0</v>
      </c>
      <c r="AB76" s="143">
        <v>0</v>
      </c>
      <c r="AC76" s="143">
        <v>0</v>
      </c>
      <c r="AD76" s="156">
        <v>0</v>
      </c>
      <c r="AE76" s="155">
        <v>0</v>
      </c>
      <c r="AF76" s="143">
        <v>0</v>
      </c>
      <c r="AG76" s="144">
        <v>0</v>
      </c>
      <c r="AH76" s="164">
        <v>0</v>
      </c>
      <c r="AI76" s="40"/>
      <c r="AM76" s="40"/>
      <c r="AN76" s="40"/>
      <c r="AO76" s="40"/>
      <c r="AP76" s="40"/>
    </row>
    <row r="77" spans="1:42" ht="19.5" thickBot="1" x14ac:dyDescent="0.25">
      <c r="A77" s="2"/>
      <c r="I77" s="80">
        <v>13</v>
      </c>
      <c r="J77" s="230">
        <v>161</v>
      </c>
      <c r="K77" s="155">
        <v>0</v>
      </c>
      <c r="L77" s="143">
        <v>0</v>
      </c>
      <c r="M77" s="143">
        <v>0</v>
      </c>
      <c r="N77" s="156">
        <v>0</v>
      </c>
      <c r="O77" s="155">
        <v>0</v>
      </c>
      <c r="P77" s="143">
        <v>0</v>
      </c>
      <c r="Q77" s="144">
        <v>0</v>
      </c>
      <c r="R77" s="163">
        <v>0</v>
      </c>
      <c r="S77" s="155">
        <v>0</v>
      </c>
      <c r="T77" s="143">
        <v>0</v>
      </c>
      <c r="U77" s="143">
        <v>0</v>
      </c>
      <c r="V77" s="156">
        <v>0</v>
      </c>
      <c r="W77" s="155">
        <v>0</v>
      </c>
      <c r="X77" s="143">
        <v>0</v>
      </c>
      <c r="Y77" s="144">
        <v>0</v>
      </c>
      <c r="Z77" s="164">
        <v>0</v>
      </c>
      <c r="AA77" s="155">
        <v>0</v>
      </c>
      <c r="AB77" s="143">
        <v>0</v>
      </c>
      <c r="AC77" s="143">
        <v>0</v>
      </c>
      <c r="AD77" s="156">
        <v>0</v>
      </c>
      <c r="AE77" s="155">
        <v>0</v>
      </c>
      <c r="AF77" s="143">
        <v>0</v>
      </c>
      <c r="AG77" s="144">
        <v>0</v>
      </c>
      <c r="AH77" s="164">
        <v>0</v>
      </c>
    </row>
    <row r="78" spans="1:42" ht="19.5" thickBot="1" x14ac:dyDescent="0.25">
      <c r="A78" s="2"/>
      <c r="I78" s="80">
        <v>14</v>
      </c>
      <c r="J78" s="230">
        <v>165</v>
      </c>
      <c r="K78" s="155">
        <v>0</v>
      </c>
      <c r="L78" s="143">
        <v>0</v>
      </c>
      <c r="M78" s="143">
        <v>0</v>
      </c>
      <c r="N78" s="156">
        <v>0</v>
      </c>
      <c r="O78" s="155">
        <v>0</v>
      </c>
      <c r="P78" s="143">
        <v>0</v>
      </c>
      <c r="Q78" s="144">
        <v>0</v>
      </c>
      <c r="R78" s="163">
        <v>0</v>
      </c>
      <c r="S78" s="155">
        <v>0</v>
      </c>
      <c r="T78" s="143">
        <v>0</v>
      </c>
      <c r="U78" s="143">
        <v>0</v>
      </c>
      <c r="V78" s="156">
        <v>0</v>
      </c>
      <c r="W78" s="155">
        <v>0</v>
      </c>
      <c r="X78" s="143">
        <v>0</v>
      </c>
      <c r="Y78" s="144">
        <v>0</v>
      </c>
      <c r="Z78" s="164">
        <v>0</v>
      </c>
      <c r="AA78" s="155">
        <v>0</v>
      </c>
      <c r="AB78" s="143">
        <v>0</v>
      </c>
      <c r="AC78" s="143">
        <v>0</v>
      </c>
      <c r="AD78" s="156">
        <v>0</v>
      </c>
      <c r="AE78" s="155">
        <v>0</v>
      </c>
      <c r="AF78" s="143">
        <v>0</v>
      </c>
      <c r="AG78" s="144">
        <v>0</v>
      </c>
      <c r="AH78" s="164">
        <v>0</v>
      </c>
    </row>
    <row r="79" spans="1:42" ht="19.5" thickBot="1" x14ac:dyDescent="0.25">
      <c r="A79" s="2"/>
      <c r="I79" s="80">
        <v>15</v>
      </c>
      <c r="J79" s="230">
        <v>173</v>
      </c>
      <c r="K79" s="155">
        <v>0</v>
      </c>
      <c r="L79" s="143">
        <v>0</v>
      </c>
      <c r="M79" s="143">
        <v>0</v>
      </c>
      <c r="N79" s="156">
        <v>0</v>
      </c>
      <c r="O79" s="155">
        <v>0</v>
      </c>
      <c r="P79" s="143">
        <v>0</v>
      </c>
      <c r="Q79" s="144">
        <v>0</v>
      </c>
      <c r="R79" s="163">
        <v>0</v>
      </c>
      <c r="S79" s="155">
        <v>0</v>
      </c>
      <c r="T79" s="143">
        <v>0</v>
      </c>
      <c r="U79" s="143">
        <v>0</v>
      </c>
      <c r="V79" s="156">
        <v>0</v>
      </c>
      <c r="W79" s="155">
        <v>0</v>
      </c>
      <c r="X79" s="143">
        <v>0</v>
      </c>
      <c r="Y79" s="144">
        <v>0</v>
      </c>
      <c r="Z79" s="164">
        <v>0</v>
      </c>
      <c r="AA79" s="155">
        <v>0</v>
      </c>
      <c r="AB79" s="143">
        <v>0</v>
      </c>
      <c r="AC79" s="143">
        <v>0</v>
      </c>
      <c r="AD79" s="156">
        <v>0</v>
      </c>
      <c r="AE79" s="155">
        <v>0</v>
      </c>
      <c r="AF79" s="143">
        <v>0</v>
      </c>
      <c r="AG79" s="144">
        <v>0</v>
      </c>
      <c r="AH79" s="164">
        <v>0</v>
      </c>
    </row>
    <row r="80" spans="1:42" ht="19.5" thickBot="1" x14ac:dyDescent="0.25">
      <c r="A80" s="2"/>
      <c r="I80" s="80">
        <v>16</v>
      </c>
      <c r="J80" s="230">
        <v>177</v>
      </c>
      <c r="K80" s="155">
        <v>0</v>
      </c>
      <c r="L80" s="143">
        <v>0</v>
      </c>
      <c r="M80" s="143">
        <v>0</v>
      </c>
      <c r="N80" s="156">
        <v>0</v>
      </c>
      <c r="O80" s="155">
        <v>0</v>
      </c>
      <c r="P80" s="143">
        <v>0</v>
      </c>
      <c r="Q80" s="144">
        <v>0</v>
      </c>
      <c r="R80" s="163">
        <v>0</v>
      </c>
      <c r="S80" s="155">
        <v>0</v>
      </c>
      <c r="T80" s="143">
        <v>0</v>
      </c>
      <c r="U80" s="143">
        <v>0</v>
      </c>
      <c r="V80" s="156">
        <v>0</v>
      </c>
      <c r="W80" s="155">
        <v>0</v>
      </c>
      <c r="X80" s="143">
        <v>0</v>
      </c>
      <c r="Y80" s="144">
        <v>0</v>
      </c>
      <c r="Z80" s="164">
        <v>0</v>
      </c>
      <c r="AA80" s="155">
        <v>0</v>
      </c>
      <c r="AB80" s="143">
        <v>0</v>
      </c>
      <c r="AC80" s="143">
        <v>0</v>
      </c>
      <c r="AD80" s="156">
        <v>0</v>
      </c>
      <c r="AE80" s="155">
        <v>0</v>
      </c>
      <c r="AF80" s="143">
        <v>0</v>
      </c>
      <c r="AG80" s="144">
        <v>0</v>
      </c>
      <c r="AH80" s="164">
        <v>0</v>
      </c>
    </row>
    <row r="81" spans="1:39" ht="19.5" thickBot="1" x14ac:dyDescent="0.25">
      <c r="A81" s="2"/>
      <c r="I81" s="80">
        <v>17</v>
      </c>
      <c r="J81" s="230">
        <v>38</v>
      </c>
      <c r="K81" s="155">
        <v>0</v>
      </c>
      <c r="L81" s="143">
        <v>0</v>
      </c>
      <c r="M81" s="143">
        <v>0</v>
      </c>
      <c r="N81" s="156">
        <v>0</v>
      </c>
      <c r="O81" s="155">
        <v>0</v>
      </c>
      <c r="P81" s="143">
        <v>0</v>
      </c>
      <c r="Q81" s="144">
        <v>0</v>
      </c>
      <c r="R81" s="163">
        <v>0</v>
      </c>
      <c r="S81" s="155">
        <v>0</v>
      </c>
      <c r="T81" s="143">
        <v>0</v>
      </c>
      <c r="U81" s="143">
        <v>0</v>
      </c>
      <c r="V81" s="156">
        <v>0</v>
      </c>
      <c r="W81" s="155">
        <v>0</v>
      </c>
      <c r="X81" s="143">
        <v>0</v>
      </c>
      <c r="Y81" s="144">
        <v>0</v>
      </c>
      <c r="Z81" s="164">
        <v>0</v>
      </c>
      <c r="AA81" s="155">
        <v>0</v>
      </c>
      <c r="AB81" s="143">
        <v>0</v>
      </c>
      <c r="AC81" s="143">
        <v>0</v>
      </c>
      <c r="AD81" s="156">
        <v>0</v>
      </c>
      <c r="AE81" s="155">
        <v>0</v>
      </c>
      <c r="AF81" s="143">
        <v>0</v>
      </c>
      <c r="AG81" s="144">
        <v>0</v>
      </c>
      <c r="AH81" s="164">
        <v>0</v>
      </c>
    </row>
    <row r="82" spans="1:39" ht="19.5" thickBot="1" x14ac:dyDescent="0.25">
      <c r="A82" s="2"/>
      <c r="I82" s="80">
        <v>18</v>
      </c>
      <c r="J82" s="230">
        <v>46</v>
      </c>
      <c r="K82" s="155">
        <v>0</v>
      </c>
      <c r="L82" s="143">
        <v>0</v>
      </c>
      <c r="M82" s="143">
        <v>0</v>
      </c>
      <c r="N82" s="156">
        <v>0</v>
      </c>
      <c r="O82" s="155">
        <v>0</v>
      </c>
      <c r="P82" s="143">
        <v>0</v>
      </c>
      <c r="Q82" s="144">
        <v>0</v>
      </c>
      <c r="R82" s="163">
        <v>0</v>
      </c>
      <c r="S82" s="155">
        <v>0</v>
      </c>
      <c r="T82" s="143">
        <v>0</v>
      </c>
      <c r="U82" s="143">
        <v>0</v>
      </c>
      <c r="V82" s="156">
        <v>0</v>
      </c>
      <c r="W82" s="155">
        <v>0</v>
      </c>
      <c r="X82" s="143">
        <v>0</v>
      </c>
      <c r="Y82" s="144">
        <v>0</v>
      </c>
      <c r="Z82" s="164">
        <v>0</v>
      </c>
      <c r="AA82" s="155">
        <v>0</v>
      </c>
      <c r="AB82" s="143">
        <v>0</v>
      </c>
      <c r="AC82" s="143">
        <v>0</v>
      </c>
      <c r="AD82" s="156">
        <v>0</v>
      </c>
      <c r="AE82" s="155">
        <v>0</v>
      </c>
      <c r="AF82" s="143">
        <v>0</v>
      </c>
      <c r="AG82" s="144">
        <v>0</v>
      </c>
      <c r="AH82" s="164">
        <v>0</v>
      </c>
    </row>
    <row r="83" spans="1:39" ht="19.5" thickBot="1" x14ac:dyDescent="0.25">
      <c r="A83" s="2"/>
      <c r="I83" s="80">
        <v>19</v>
      </c>
      <c r="J83" s="230">
        <v>54</v>
      </c>
      <c r="K83" s="155">
        <v>0</v>
      </c>
      <c r="L83" s="143">
        <v>0</v>
      </c>
      <c r="M83" s="143">
        <v>0</v>
      </c>
      <c r="N83" s="156">
        <v>0</v>
      </c>
      <c r="O83" s="155">
        <v>0</v>
      </c>
      <c r="P83" s="143">
        <v>0</v>
      </c>
      <c r="Q83" s="143">
        <v>0</v>
      </c>
      <c r="R83" s="163">
        <v>0</v>
      </c>
      <c r="S83" s="155">
        <v>0</v>
      </c>
      <c r="T83" s="143">
        <v>0</v>
      </c>
      <c r="U83" s="143">
        <v>0</v>
      </c>
      <c r="V83" s="156">
        <v>0</v>
      </c>
      <c r="W83" s="155">
        <v>0</v>
      </c>
      <c r="X83" s="143">
        <v>0</v>
      </c>
      <c r="Y83" s="143">
        <v>0</v>
      </c>
      <c r="Z83" s="164">
        <v>0</v>
      </c>
      <c r="AA83" s="155">
        <v>0</v>
      </c>
      <c r="AB83" s="143">
        <v>0</v>
      </c>
      <c r="AC83" s="143">
        <v>0</v>
      </c>
      <c r="AD83" s="156">
        <v>0</v>
      </c>
      <c r="AE83" s="155">
        <v>0</v>
      </c>
      <c r="AF83" s="143">
        <v>0</v>
      </c>
      <c r="AG83" s="143">
        <v>0</v>
      </c>
      <c r="AH83" s="164">
        <v>0</v>
      </c>
    </row>
    <row r="84" spans="1:39" ht="19.5" thickBot="1" x14ac:dyDescent="0.25">
      <c r="A84" s="2"/>
      <c r="I84" s="80">
        <v>20</v>
      </c>
      <c r="J84" s="230">
        <v>62</v>
      </c>
      <c r="K84" s="155">
        <v>0</v>
      </c>
      <c r="L84" s="143">
        <v>0</v>
      </c>
      <c r="M84" s="143">
        <v>0</v>
      </c>
      <c r="N84" s="156">
        <v>0</v>
      </c>
      <c r="O84" s="155">
        <v>0</v>
      </c>
      <c r="P84" s="143">
        <v>0</v>
      </c>
      <c r="Q84" s="143">
        <v>0</v>
      </c>
      <c r="R84" s="163">
        <v>0</v>
      </c>
      <c r="S84" s="155">
        <v>0</v>
      </c>
      <c r="T84" s="143">
        <v>0</v>
      </c>
      <c r="U84" s="143">
        <v>0</v>
      </c>
      <c r="V84" s="156">
        <v>0</v>
      </c>
      <c r="W84" s="155">
        <v>0</v>
      </c>
      <c r="X84" s="143">
        <v>0</v>
      </c>
      <c r="Y84" s="143">
        <v>0</v>
      </c>
      <c r="Z84" s="164">
        <v>0</v>
      </c>
      <c r="AA84" s="155">
        <v>0</v>
      </c>
      <c r="AB84" s="143">
        <v>0</v>
      </c>
      <c r="AC84" s="143">
        <v>0</v>
      </c>
      <c r="AD84" s="156">
        <v>0</v>
      </c>
      <c r="AE84" s="155">
        <v>0</v>
      </c>
      <c r="AF84" s="143">
        <v>0</v>
      </c>
      <c r="AG84" s="143">
        <v>0</v>
      </c>
      <c r="AH84" s="164">
        <v>0</v>
      </c>
    </row>
    <row r="85" spans="1:39" ht="19.5" thickBot="1" x14ac:dyDescent="0.3">
      <c r="A85" s="2"/>
      <c r="H85" s="42"/>
      <c r="I85" s="80">
        <v>21</v>
      </c>
      <c r="J85" s="230">
        <v>102</v>
      </c>
      <c r="K85" s="155">
        <v>0</v>
      </c>
      <c r="L85" s="143">
        <v>0</v>
      </c>
      <c r="M85" s="143">
        <v>0</v>
      </c>
      <c r="N85" s="156">
        <v>0</v>
      </c>
      <c r="O85" s="155">
        <v>0</v>
      </c>
      <c r="P85" s="143">
        <v>0</v>
      </c>
      <c r="Q85" s="143">
        <v>0</v>
      </c>
      <c r="R85" s="163">
        <v>0</v>
      </c>
      <c r="S85" s="155">
        <v>0</v>
      </c>
      <c r="T85" s="143">
        <v>0</v>
      </c>
      <c r="U85" s="143">
        <v>0</v>
      </c>
      <c r="V85" s="156">
        <v>0</v>
      </c>
      <c r="W85" s="155">
        <v>0</v>
      </c>
      <c r="X85" s="143">
        <v>0</v>
      </c>
      <c r="Y85" s="143">
        <v>0</v>
      </c>
      <c r="Z85" s="164">
        <v>0</v>
      </c>
      <c r="AA85" s="155">
        <v>0</v>
      </c>
      <c r="AB85" s="143">
        <v>0</v>
      </c>
      <c r="AC85" s="143">
        <v>0</v>
      </c>
      <c r="AD85" s="156">
        <v>0</v>
      </c>
      <c r="AE85" s="155">
        <v>0</v>
      </c>
      <c r="AF85" s="143">
        <v>0</v>
      </c>
      <c r="AG85" s="143">
        <v>0</v>
      </c>
      <c r="AH85" s="164">
        <v>0</v>
      </c>
      <c r="AI85" s="42"/>
      <c r="AJ85" s="42"/>
      <c r="AK85" s="42"/>
      <c r="AL85" s="42"/>
      <c r="AM85" s="42"/>
    </row>
    <row r="86" spans="1:39" ht="19.5" thickBot="1" x14ac:dyDescent="0.3">
      <c r="A86" s="2"/>
      <c r="H86" s="42"/>
      <c r="I86" s="80">
        <v>22</v>
      </c>
      <c r="J86" s="230">
        <v>142</v>
      </c>
      <c r="K86" s="155">
        <v>0</v>
      </c>
      <c r="L86" s="143">
        <v>0</v>
      </c>
      <c r="M86" s="143">
        <v>0</v>
      </c>
      <c r="N86" s="156">
        <v>0</v>
      </c>
      <c r="O86" s="155">
        <v>0</v>
      </c>
      <c r="P86" s="143">
        <v>0</v>
      </c>
      <c r="Q86" s="144">
        <v>0</v>
      </c>
      <c r="R86" s="163">
        <v>0</v>
      </c>
      <c r="S86" s="155">
        <v>0</v>
      </c>
      <c r="T86" s="143">
        <v>0</v>
      </c>
      <c r="U86" s="143">
        <v>0</v>
      </c>
      <c r="V86" s="156">
        <v>0</v>
      </c>
      <c r="W86" s="155">
        <v>0</v>
      </c>
      <c r="X86" s="143">
        <v>0</v>
      </c>
      <c r="Y86" s="144">
        <v>0</v>
      </c>
      <c r="Z86" s="164">
        <v>0</v>
      </c>
      <c r="AA86" s="155">
        <v>0</v>
      </c>
      <c r="AB86" s="143">
        <v>0</v>
      </c>
      <c r="AC86" s="143">
        <v>0</v>
      </c>
      <c r="AD86" s="156">
        <v>0</v>
      </c>
      <c r="AE86" s="155">
        <v>0</v>
      </c>
      <c r="AF86" s="143">
        <v>0</v>
      </c>
      <c r="AG86" s="144">
        <v>0</v>
      </c>
      <c r="AH86" s="164">
        <v>0</v>
      </c>
      <c r="AI86" s="42"/>
      <c r="AJ86" s="42"/>
      <c r="AK86" s="42"/>
      <c r="AL86" s="42"/>
      <c r="AM86" s="42"/>
    </row>
    <row r="87" spans="1:39" ht="15" customHeight="1" thickBot="1" x14ac:dyDescent="0.3">
      <c r="A87" s="2"/>
      <c r="H87" s="54"/>
      <c r="I87" s="80">
        <v>23</v>
      </c>
      <c r="J87" s="230">
        <v>151</v>
      </c>
      <c r="K87" s="155">
        <v>0</v>
      </c>
      <c r="L87" s="143">
        <v>0</v>
      </c>
      <c r="M87" s="143">
        <v>0</v>
      </c>
      <c r="N87" s="156">
        <v>0</v>
      </c>
      <c r="O87" s="155">
        <v>0</v>
      </c>
      <c r="P87" s="143">
        <v>0</v>
      </c>
      <c r="Q87" s="144">
        <v>0</v>
      </c>
      <c r="R87" s="163">
        <v>0</v>
      </c>
      <c r="S87" s="155">
        <v>0</v>
      </c>
      <c r="T87" s="143">
        <v>0</v>
      </c>
      <c r="U87" s="143">
        <v>0</v>
      </c>
      <c r="V87" s="156">
        <v>0</v>
      </c>
      <c r="W87" s="155">
        <v>0</v>
      </c>
      <c r="X87" s="143">
        <v>0</v>
      </c>
      <c r="Y87" s="144">
        <v>0</v>
      </c>
      <c r="Z87" s="164">
        <v>0</v>
      </c>
      <c r="AA87" s="155">
        <v>0</v>
      </c>
      <c r="AB87" s="143">
        <v>0</v>
      </c>
      <c r="AC87" s="143">
        <v>0</v>
      </c>
      <c r="AD87" s="156">
        <v>0</v>
      </c>
      <c r="AE87" s="155">
        <v>0</v>
      </c>
      <c r="AF87" s="143">
        <v>0</v>
      </c>
      <c r="AG87" s="144">
        <v>0</v>
      </c>
      <c r="AH87" s="164">
        <v>0</v>
      </c>
      <c r="AI87" s="56"/>
      <c r="AJ87" s="56"/>
      <c r="AK87" s="56"/>
      <c r="AL87" s="56"/>
      <c r="AM87" s="56"/>
    </row>
    <row r="88" spans="1:39" ht="15" customHeight="1" thickBot="1" x14ac:dyDescent="0.3">
      <c r="A88" s="2"/>
      <c r="H88" s="4"/>
      <c r="I88" s="80">
        <v>24</v>
      </c>
      <c r="J88" s="230">
        <v>175</v>
      </c>
      <c r="K88" s="155">
        <v>0</v>
      </c>
      <c r="L88" s="143">
        <v>0</v>
      </c>
      <c r="M88" s="143">
        <v>0</v>
      </c>
      <c r="N88" s="156">
        <v>0</v>
      </c>
      <c r="O88" s="155">
        <v>0</v>
      </c>
      <c r="P88" s="143">
        <v>0</v>
      </c>
      <c r="Q88" s="144">
        <v>0</v>
      </c>
      <c r="R88" s="163">
        <v>0</v>
      </c>
      <c r="S88" s="155">
        <v>0</v>
      </c>
      <c r="T88" s="143">
        <v>0</v>
      </c>
      <c r="U88" s="143">
        <v>0</v>
      </c>
      <c r="V88" s="156">
        <v>0</v>
      </c>
      <c r="W88" s="155">
        <v>0</v>
      </c>
      <c r="X88" s="143">
        <v>0</v>
      </c>
      <c r="Y88" s="144">
        <v>0</v>
      </c>
      <c r="Z88" s="164">
        <v>0</v>
      </c>
      <c r="AA88" s="155">
        <v>0</v>
      </c>
      <c r="AB88" s="143">
        <v>0</v>
      </c>
      <c r="AC88" s="143">
        <v>0</v>
      </c>
      <c r="AD88" s="156">
        <v>0</v>
      </c>
      <c r="AE88" s="155">
        <v>0</v>
      </c>
      <c r="AF88" s="143">
        <v>0</v>
      </c>
      <c r="AG88" s="144">
        <v>0</v>
      </c>
      <c r="AH88" s="164">
        <v>0</v>
      </c>
      <c r="AI88" s="56"/>
      <c r="AJ88" s="56"/>
      <c r="AK88" s="56"/>
      <c r="AL88" s="56"/>
      <c r="AM88" s="56"/>
    </row>
    <row r="89" spans="1:39" ht="19.5" thickBot="1" x14ac:dyDescent="0.3">
      <c r="A89" s="2"/>
      <c r="H89" s="54"/>
      <c r="I89" s="80">
        <v>25</v>
      </c>
      <c r="J89" s="230">
        <v>42</v>
      </c>
      <c r="K89" s="155">
        <v>0</v>
      </c>
      <c r="L89" s="143">
        <v>0</v>
      </c>
      <c r="M89" s="143">
        <v>0</v>
      </c>
      <c r="N89" s="156">
        <v>0</v>
      </c>
      <c r="O89" s="155">
        <v>0</v>
      </c>
      <c r="P89" s="143">
        <v>0</v>
      </c>
      <c r="Q89" s="144">
        <v>0</v>
      </c>
      <c r="R89" s="163">
        <v>0</v>
      </c>
      <c r="S89" s="155">
        <v>0</v>
      </c>
      <c r="T89" s="143">
        <v>0</v>
      </c>
      <c r="U89" s="143">
        <v>0</v>
      </c>
      <c r="V89" s="156">
        <v>0</v>
      </c>
      <c r="W89" s="155">
        <v>0</v>
      </c>
      <c r="X89" s="143">
        <v>0</v>
      </c>
      <c r="Y89" s="144">
        <v>0</v>
      </c>
      <c r="Z89" s="164">
        <v>0</v>
      </c>
      <c r="AA89" s="155">
        <v>0</v>
      </c>
      <c r="AB89" s="143">
        <v>0</v>
      </c>
      <c r="AC89" s="143">
        <v>0</v>
      </c>
      <c r="AD89" s="156">
        <v>0</v>
      </c>
      <c r="AE89" s="155">
        <v>0</v>
      </c>
      <c r="AF89" s="143">
        <v>0</v>
      </c>
      <c r="AG89" s="144">
        <v>0</v>
      </c>
      <c r="AH89" s="164">
        <v>0</v>
      </c>
      <c r="AI89" s="42"/>
      <c r="AJ89" s="42"/>
      <c r="AK89" s="42"/>
      <c r="AL89" s="42"/>
      <c r="AM89" s="42"/>
    </row>
    <row r="90" spans="1:39" ht="19.5" thickBot="1" x14ac:dyDescent="0.3">
      <c r="A90" s="2"/>
      <c r="H90" s="4"/>
      <c r="I90" s="80">
        <v>26</v>
      </c>
      <c r="J90" s="230">
        <v>58</v>
      </c>
      <c r="K90" s="155">
        <v>0</v>
      </c>
      <c r="L90" s="143">
        <v>0</v>
      </c>
      <c r="M90" s="143">
        <v>0</v>
      </c>
      <c r="N90" s="156">
        <v>0</v>
      </c>
      <c r="O90" s="155">
        <v>0</v>
      </c>
      <c r="P90" s="143">
        <v>0</v>
      </c>
      <c r="Q90" s="144">
        <v>0</v>
      </c>
      <c r="R90" s="163">
        <v>0</v>
      </c>
      <c r="S90" s="155">
        <v>0</v>
      </c>
      <c r="T90" s="143">
        <v>0</v>
      </c>
      <c r="U90" s="143">
        <v>0</v>
      </c>
      <c r="V90" s="156">
        <v>0</v>
      </c>
      <c r="W90" s="155">
        <v>0</v>
      </c>
      <c r="X90" s="143">
        <v>0</v>
      </c>
      <c r="Y90" s="144">
        <v>0</v>
      </c>
      <c r="Z90" s="164">
        <v>0</v>
      </c>
      <c r="AA90" s="155">
        <v>0</v>
      </c>
      <c r="AB90" s="143">
        <v>0</v>
      </c>
      <c r="AC90" s="143">
        <v>0</v>
      </c>
      <c r="AD90" s="156">
        <v>0</v>
      </c>
      <c r="AE90" s="155">
        <v>0</v>
      </c>
      <c r="AF90" s="143">
        <v>0</v>
      </c>
      <c r="AG90" s="144">
        <v>0</v>
      </c>
      <c r="AH90" s="164">
        <v>0</v>
      </c>
      <c r="AI90" s="56"/>
      <c r="AJ90" s="56"/>
      <c r="AK90" s="56"/>
      <c r="AL90" s="56"/>
      <c r="AM90" s="56"/>
    </row>
    <row r="91" spans="1:39" ht="19.5" thickBot="1" x14ac:dyDescent="0.3">
      <c r="A91" s="2"/>
      <c r="H91" s="54"/>
      <c r="I91" s="80">
        <v>27</v>
      </c>
      <c r="J91" s="230">
        <v>106</v>
      </c>
      <c r="K91" s="155">
        <v>0</v>
      </c>
      <c r="L91" s="143">
        <v>0</v>
      </c>
      <c r="M91" s="143">
        <v>0</v>
      </c>
      <c r="N91" s="156">
        <v>0</v>
      </c>
      <c r="O91" s="155">
        <v>0</v>
      </c>
      <c r="P91" s="143">
        <v>0</v>
      </c>
      <c r="Q91" s="143">
        <v>0</v>
      </c>
      <c r="R91" s="163">
        <v>0</v>
      </c>
      <c r="S91" s="155">
        <v>0</v>
      </c>
      <c r="T91" s="143">
        <v>0</v>
      </c>
      <c r="U91" s="143">
        <v>0</v>
      </c>
      <c r="V91" s="156">
        <v>0</v>
      </c>
      <c r="W91" s="155">
        <v>0</v>
      </c>
      <c r="X91" s="143">
        <v>0</v>
      </c>
      <c r="Y91" s="143">
        <v>0</v>
      </c>
      <c r="Z91" s="164">
        <v>0</v>
      </c>
      <c r="AA91" s="155">
        <v>0</v>
      </c>
      <c r="AB91" s="143">
        <v>0</v>
      </c>
      <c r="AC91" s="143">
        <v>0</v>
      </c>
      <c r="AD91" s="156">
        <v>0</v>
      </c>
      <c r="AE91" s="155">
        <v>0</v>
      </c>
      <c r="AF91" s="143">
        <v>0</v>
      </c>
      <c r="AG91" s="143">
        <v>0</v>
      </c>
      <c r="AH91" s="164">
        <v>0</v>
      </c>
      <c r="AI91" s="42"/>
      <c r="AJ91" s="42"/>
      <c r="AK91" s="42"/>
      <c r="AL91" s="42"/>
      <c r="AM91" s="42"/>
    </row>
    <row r="92" spans="1:39" ht="19.5" thickBot="1" x14ac:dyDescent="0.3">
      <c r="A92" s="2"/>
      <c r="H92" s="42"/>
      <c r="I92" s="80">
        <v>28</v>
      </c>
      <c r="J92" s="230">
        <v>138</v>
      </c>
      <c r="K92" s="155">
        <v>0</v>
      </c>
      <c r="L92" s="143">
        <v>0</v>
      </c>
      <c r="M92" s="143">
        <v>0</v>
      </c>
      <c r="N92" s="156">
        <v>0</v>
      </c>
      <c r="O92" s="155">
        <v>0</v>
      </c>
      <c r="P92" s="143">
        <v>0</v>
      </c>
      <c r="Q92" s="143">
        <v>0</v>
      </c>
      <c r="R92" s="163">
        <v>0</v>
      </c>
      <c r="S92" s="155">
        <v>0</v>
      </c>
      <c r="T92" s="143">
        <v>0</v>
      </c>
      <c r="U92" s="143">
        <v>0</v>
      </c>
      <c r="V92" s="156">
        <v>0</v>
      </c>
      <c r="W92" s="155">
        <v>0</v>
      </c>
      <c r="X92" s="143">
        <v>0</v>
      </c>
      <c r="Y92" s="143">
        <v>0</v>
      </c>
      <c r="Z92" s="164">
        <v>0</v>
      </c>
      <c r="AA92" s="155">
        <v>0</v>
      </c>
      <c r="AB92" s="143">
        <v>0</v>
      </c>
      <c r="AC92" s="143">
        <v>0</v>
      </c>
      <c r="AD92" s="156">
        <v>0</v>
      </c>
      <c r="AE92" s="155">
        <v>0</v>
      </c>
      <c r="AF92" s="143">
        <v>0</v>
      </c>
      <c r="AG92" s="143">
        <v>0</v>
      </c>
      <c r="AH92" s="164">
        <v>0</v>
      </c>
      <c r="AI92" s="42"/>
      <c r="AJ92" s="42"/>
      <c r="AK92" s="42"/>
      <c r="AL92" s="42"/>
      <c r="AM92" s="42"/>
    </row>
    <row r="93" spans="1:39" ht="19.5" thickBot="1" x14ac:dyDescent="0.3">
      <c r="A93" s="2"/>
      <c r="H93" s="42"/>
      <c r="I93" s="80">
        <v>29</v>
      </c>
      <c r="J93" s="230">
        <v>155</v>
      </c>
      <c r="K93" s="155">
        <v>0</v>
      </c>
      <c r="L93" s="143">
        <v>0</v>
      </c>
      <c r="M93" s="143">
        <v>0</v>
      </c>
      <c r="N93" s="156">
        <v>0</v>
      </c>
      <c r="O93" s="155">
        <v>0</v>
      </c>
      <c r="P93" s="143">
        <v>0</v>
      </c>
      <c r="Q93" s="143">
        <v>0</v>
      </c>
      <c r="R93" s="163">
        <v>0</v>
      </c>
      <c r="S93" s="155">
        <v>0</v>
      </c>
      <c r="T93" s="143">
        <v>0</v>
      </c>
      <c r="U93" s="143">
        <v>0</v>
      </c>
      <c r="V93" s="156">
        <v>0</v>
      </c>
      <c r="W93" s="155">
        <v>0</v>
      </c>
      <c r="X93" s="143">
        <v>0</v>
      </c>
      <c r="Y93" s="143">
        <v>0</v>
      </c>
      <c r="Z93" s="164">
        <v>0</v>
      </c>
      <c r="AA93" s="155">
        <v>0</v>
      </c>
      <c r="AB93" s="143">
        <v>0</v>
      </c>
      <c r="AC93" s="143">
        <v>0</v>
      </c>
      <c r="AD93" s="156">
        <v>0</v>
      </c>
      <c r="AE93" s="155">
        <v>0</v>
      </c>
      <c r="AF93" s="143">
        <v>0</v>
      </c>
      <c r="AG93" s="143">
        <v>0</v>
      </c>
      <c r="AH93" s="164">
        <v>0</v>
      </c>
      <c r="AI93" s="42"/>
      <c r="AJ93" s="42"/>
      <c r="AK93" s="42"/>
      <c r="AL93" s="42"/>
      <c r="AM93" s="42"/>
    </row>
    <row r="94" spans="1:39" ht="15" customHeight="1" thickBot="1" x14ac:dyDescent="0.3">
      <c r="A94" s="2"/>
      <c r="H94" s="4"/>
      <c r="I94" s="80">
        <v>30</v>
      </c>
      <c r="J94" s="230">
        <v>171</v>
      </c>
      <c r="K94" s="155">
        <v>0</v>
      </c>
      <c r="L94" s="143">
        <v>0</v>
      </c>
      <c r="M94" s="143">
        <v>0</v>
      </c>
      <c r="N94" s="156">
        <v>0</v>
      </c>
      <c r="O94" s="155">
        <v>0</v>
      </c>
      <c r="P94" s="143">
        <v>0</v>
      </c>
      <c r="Q94" s="143">
        <v>0</v>
      </c>
      <c r="R94" s="163">
        <v>0</v>
      </c>
      <c r="S94" s="155">
        <v>0</v>
      </c>
      <c r="T94" s="143">
        <v>0</v>
      </c>
      <c r="U94" s="143">
        <v>0</v>
      </c>
      <c r="V94" s="156">
        <v>0</v>
      </c>
      <c r="W94" s="155">
        <v>0</v>
      </c>
      <c r="X94" s="143">
        <v>0</v>
      </c>
      <c r="Y94" s="143">
        <v>0</v>
      </c>
      <c r="Z94" s="164">
        <v>0</v>
      </c>
      <c r="AA94" s="155">
        <v>0</v>
      </c>
      <c r="AB94" s="143">
        <v>0</v>
      </c>
      <c r="AC94" s="143">
        <v>0</v>
      </c>
      <c r="AD94" s="156">
        <v>0</v>
      </c>
      <c r="AE94" s="155">
        <v>0</v>
      </c>
      <c r="AF94" s="143">
        <v>0</v>
      </c>
      <c r="AG94" s="143">
        <v>0</v>
      </c>
      <c r="AH94" s="164">
        <v>0</v>
      </c>
      <c r="AI94" s="56"/>
      <c r="AJ94" s="56"/>
      <c r="AK94" s="56"/>
      <c r="AL94" s="56"/>
      <c r="AM94" s="56"/>
    </row>
    <row r="95" spans="1:39" ht="19.5" thickBot="1" x14ac:dyDescent="0.3">
      <c r="A95" s="2"/>
      <c r="H95" s="54"/>
      <c r="I95" s="80">
        <v>31</v>
      </c>
      <c r="J95" s="230">
        <v>50</v>
      </c>
      <c r="K95" s="155">
        <v>0</v>
      </c>
      <c r="L95" s="143">
        <v>0</v>
      </c>
      <c r="M95" s="143">
        <v>0</v>
      </c>
      <c r="N95" s="156">
        <v>0</v>
      </c>
      <c r="O95" s="155">
        <v>0</v>
      </c>
      <c r="P95" s="143">
        <v>0</v>
      </c>
      <c r="Q95" s="143">
        <v>0</v>
      </c>
      <c r="R95" s="163">
        <v>0</v>
      </c>
      <c r="S95" s="155">
        <v>0</v>
      </c>
      <c r="T95" s="143">
        <v>0</v>
      </c>
      <c r="U95" s="143">
        <v>0</v>
      </c>
      <c r="V95" s="156">
        <v>0</v>
      </c>
      <c r="W95" s="155">
        <v>0</v>
      </c>
      <c r="X95" s="143">
        <v>0</v>
      </c>
      <c r="Y95" s="143">
        <v>0</v>
      </c>
      <c r="Z95" s="164">
        <v>0</v>
      </c>
      <c r="AA95" s="155">
        <v>0</v>
      </c>
      <c r="AB95" s="143">
        <v>0</v>
      </c>
      <c r="AC95" s="143">
        <v>0</v>
      </c>
      <c r="AD95" s="156">
        <v>0</v>
      </c>
      <c r="AE95" s="155">
        <v>0</v>
      </c>
      <c r="AF95" s="143">
        <v>0</v>
      </c>
      <c r="AG95" s="143">
        <v>0</v>
      </c>
      <c r="AH95" s="164">
        <v>0</v>
      </c>
    </row>
    <row r="96" spans="1:39" ht="19.5" thickBot="1" x14ac:dyDescent="0.25">
      <c r="A96" s="2"/>
      <c r="I96" s="80">
        <v>32</v>
      </c>
      <c r="J96" s="230">
        <v>114</v>
      </c>
      <c r="K96" s="155">
        <v>0</v>
      </c>
      <c r="L96" s="143">
        <v>0</v>
      </c>
      <c r="M96" s="143">
        <v>0</v>
      </c>
      <c r="N96" s="156">
        <v>0</v>
      </c>
      <c r="O96" s="155">
        <v>0</v>
      </c>
      <c r="P96" s="143">
        <v>0</v>
      </c>
      <c r="Q96" s="144">
        <v>0</v>
      </c>
      <c r="R96" s="163">
        <v>0</v>
      </c>
      <c r="S96" s="155">
        <v>0</v>
      </c>
      <c r="T96" s="143">
        <v>0</v>
      </c>
      <c r="U96" s="143">
        <v>0</v>
      </c>
      <c r="V96" s="156">
        <v>0</v>
      </c>
      <c r="W96" s="155">
        <v>0</v>
      </c>
      <c r="X96" s="143">
        <v>0</v>
      </c>
      <c r="Y96" s="144">
        <v>0</v>
      </c>
      <c r="Z96" s="164">
        <v>0</v>
      </c>
      <c r="AA96" s="155">
        <v>0</v>
      </c>
      <c r="AB96" s="143">
        <v>0</v>
      </c>
      <c r="AC96" s="143">
        <v>0</v>
      </c>
      <c r="AD96" s="156">
        <v>0</v>
      </c>
      <c r="AE96" s="155">
        <v>0</v>
      </c>
      <c r="AF96" s="143">
        <v>0</v>
      </c>
      <c r="AG96" s="144">
        <v>0</v>
      </c>
      <c r="AH96" s="164">
        <v>0</v>
      </c>
    </row>
    <row r="97" spans="1:34" ht="19.5" thickBot="1" x14ac:dyDescent="0.25">
      <c r="A97" s="2"/>
      <c r="I97" s="80">
        <v>33</v>
      </c>
      <c r="J97" s="230">
        <v>163</v>
      </c>
      <c r="K97" s="155">
        <v>0</v>
      </c>
      <c r="L97" s="143">
        <v>0</v>
      </c>
      <c r="M97" s="143">
        <v>0</v>
      </c>
      <c r="N97" s="156">
        <v>0</v>
      </c>
      <c r="O97" s="155">
        <v>0</v>
      </c>
      <c r="P97" s="143">
        <v>0</v>
      </c>
      <c r="Q97" s="144">
        <v>0</v>
      </c>
      <c r="R97" s="163">
        <v>0</v>
      </c>
      <c r="S97" s="155">
        <v>0</v>
      </c>
      <c r="T97" s="143">
        <v>0</v>
      </c>
      <c r="U97" s="143">
        <v>0</v>
      </c>
      <c r="V97" s="156">
        <v>0</v>
      </c>
      <c r="W97" s="155">
        <v>0</v>
      </c>
      <c r="X97" s="143">
        <v>0</v>
      </c>
      <c r="Y97" s="144">
        <v>0</v>
      </c>
      <c r="Z97" s="164">
        <v>0</v>
      </c>
      <c r="AA97" s="155">
        <v>0</v>
      </c>
      <c r="AB97" s="143">
        <v>0</v>
      </c>
      <c r="AC97" s="143">
        <v>0</v>
      </c>
      <c r="AD97" s="156">
        <v>0</v>
      </c>
      <c r="AE97" s="155">
        <v>0</v>
      </c>
      <c r="AF97" s="143">
        <v>0</v>
      </c>
      <c r="AG97" s="144">
        <v>0</v>
      </c>
      <c r="AH97" s="164">
        <v>0</v>
      </c>
    </row>
    <row r="98" spans="1:34" ht="15.75" thickBot="1" x14ac:dyDescent="0.25">
      <c r="A98" s="2"/>
      <c r="I98" s="80">
        <v>34</v>
      </c>
      <c r="J98" s="231" t="s">
        <v>99</v>
      </c>
      <c r="K98" s="155">
        <v>0</v>
      </c>
      <c r="L98" s="143">
        <v>0</v>
      </c>
      <c r="M98" s="143">
        <v>0</v>
      </c>
      <c r="N98" s="156">
        <v>0</v>
      </c>
      <c r="O98" s="155">
        <v>0</v>
      </c>
      <c r="P98" s="143">
        <v>0</v>
      </c>
      <c r="Q98" s="143">
        <v>0</v>
      </c>
      <c r="R98" s="163">
        <v>0</v>
      </c>
      <c r="S98" s="155">
        <v>0</v>
      </c>
      <c r="T98" s="143">
        <v>0</v>
      </c>
      <c r="U98" s="143">
        <v>0</v>
      </c>
      <c r="V98" s="156">
        <v>0</v>
      </c>
      <c r="W98" s="155">
        <v>0</v>
      </c>
      <c r="X98" s="143">
        <v>0</v>
      </c>
      <c r="Y98" s="143">
        <v>0</v>
      </c>
      <c r="Z98" s="164">
        <v>0</v>
      </c>
      <c r="AA98" s="155">
        <v>0</v>
      </c>
      <c r="AB98" s="143">
        <v>0</v>
      </c>
      <c r="AC98" s="143">
        <v>0</v>
      </c>
      <c r="AD98" s="156">
        <v>0</v>
      </c>
      <c r="AE98" s="155">
        <v>0</v>
      </c>
      <c r="AF98" s="143">
        <v>0</v>
      </c>
      <c r="AG98" s="143">
        <v>0</v>
      </c>
      <c r="AH98" s="164">
        <v>0</v>
      </c>
    </row>
    <row r="99" spans="1:34" ht="15.75" thickBot="1" x14ac:dyDescent="0.25">
      <c r="A99" s="2"/>
      <c r="I99" s="80">
        <v>35</v>
      </c>
      <c r="J99" s="231" t="s">
        <v>99</v>
      </c>
      <c r="K99" s="155">
        <v>0</v>
      </c>
      <c r="L99" s="143">
        <v>0</v>
      </c>
      <c r="M99" s="143">
        <v>0</v>
      </c>
      <c r="N99" s="156">
        <v>0</v>
      </c>
      <c r="O99" s="155">
        <v>0</v>
      </c>
      <c r="P99" s="143">
        <v>0</v>
      </c>
      <c r="Q99" s="144">
        <v>0</v>
      </c>
      <c r="R99" s="163">
        <v>0</v>
      </c>
      <c r="S99" s="155">
        <v>0</v>
      </c>
      <c r="T99" s="143">
        <v>0</v>
      </c>
      <c r="U99" s="143">
        <v>0</v>
      </c>
      <c r="V99" s="156">
        <v>0</v>
      </c>
      <c r="W99" s="155">
        <v>0</v>
      </c>
      <c r="X99" s="143">
        <v>0</v>
      </c>
      <c r="Y99" s="144">
        <v>0</v>
      </c>
      <c r="Z99" s="164">
        <v>0</v>
      </c>
      <c r="AA99" s="155">
        <v>0</v>
      </c>
      <c r="AB99" s="143">
        <v>0</v>
      </c>
      <c r="AC99" s="143">
        <v>0</v>
      </c>
      <c r="AD99" s="156">
        <v>0</v>
      </c>
      <c r="AE99" s="155">
        <v>0</v>
      </c>
      <c r="AF99" s="143">
        <v>0</v>
      </c>
      <c r="AG99" s="144">
        <v>0</v>
      </c>
      <c r="AH99" s="164">
        <v>0</v>
      </c>
    </row>
    <row r="100" spans="1:34" ht="15.75" thickBot="1" x14ac:dyDescent="0.25">
      <c r="A100" s="2"/>
      <c r="I100" s="80">
        <v>36</v>
      </c>
      <c r="J100" s="231" t="s">
        <v>99</v>
      </c>
      <c r="K100" s="155">
        <v>0</v>
      </c>
      <c r="L100" s="143">
        <v>0</v>
      </c>
      <c r="M100" s="143">
        <v>0</v>
      </c>
      <c r="N100" s="156">
        <v>0</v>
      </c>
      <c r="O100" s="155">
        <v>0</v>
      </c>
      <c r="P100" s="143">
        <v>0</v>
      </c>
      <c r="Q100" s="143">
        <v>0</v>
      </c>
      <c r="R100" s="163">
        <v>0</v>
      </c>
      <c r="S100" s="155">
        <v>0</v>
      </c>
      <c r="T100" s="143">
        <v>0</v>
      </c>
      <c r="U100" s="143">
        <v>0</v>
      </c>
      <c r="V100" s="156">
        <v>0</v>
      </c>
      <c r="W100" s="155">
        <v>0</v>
      </c>
      <c r="X100" s="143">
        <v>0</v>
      </c>
      <c r="Y100" s="143">
        <v>0</v>
      </c>
      <c r="Z100" s="164">
        <v>0</v>
      </c>
      <c r="AA100" s="155">
        <v>0</v>
      </c>
      <c r="AB100" s="143">
        <v>0</v>
      </c>
      <c r="AC100" s="143">
        <v>0</v>
      </c>
      <c r="AD100" s="156">
        <v>0</v>
      </c>
      <c r="AE100" s="155">
        <v>0</v>
      </c>
      <c r="AF100" s="143">
        <v>0</v>
      </c>
      <c r="AG100" s="143">
        <v>0</v>
      </c>
      <c r="AH100" s="164">
        <v>0</v>
      </c>
    </row>
    <row r="101" spans="1:34" ht="15.75" thickBot="1" x14ac:dyDescent="0.25">
      <c r="A101" s="2"/>
      <c r="I101" s="80">
        <v>37</v>
      </c>
      <c r="J101" s="231" t="s">
        <v>99</v>
      </c>
      <c r="K101" s="155">
        <v>0</v>
      </c>
      <c r="L101" s="143">
        <v>0</v>
      </c>
      <c r="M101" s="143">
        <v>0</v>
      </c>
      <c r="N101" s="156">
        <v>0</v>
      </c>
      <c r="O101" s="155">
        <v>0</v>
      </c>
      <c r="P101" s="143">
        <v>0</v>
      </c>
      <c r="Q101" s="143">
        <v>0</v>
      </c>
      <c r="R101" s="163">
        <v>0</v>
      </c>
      <c r="S101" s="155">
        <v>0</v>
      </c>
      <c r="T101" s="143">
        <v>0</v>
      </c>
      <c r="U101" s="143">
        <v>0</v>
      </c>
      <c r="V101" s="156">
        <v>0</v>
      </c>
      <c r="W101" s="155">
        <v>0</v>
      </c>
      <c r="X101" s="143">
        <v>0</v>
      </c>
      <c r="Y101" s="143">
        <v>0</v>
      </c>
      <c r="Z101" s="164">
        <v>0</v>
      </c>
      <c r="AA101" s="155">
        <v>0</v>
      </c>
      <c r="AB101" s="143">
        <v>0</v>
      </c>
      <c r="AC101" s="143">
        <v>0</v>
      </c>
      <c r="AD101" s="156">
        <v>0</v>
      </c>
      <c r="AE101" s="155">
        <v>0</v>
      </c>
      <c r="AF101" s="143">
        <v>0</v>
      </c>
      <c r="AG101" s="143">
        <v>0</v>
      </c>
      <c r="AH101" s="164">
        <v>0</v>
      </c>
    </row>
    <row r="102" spans="1:34" ht="15.75" thickBot="1" x14ac:dyDescent="0.25">
      <c r="A102" s="2"/>
      <c r="I102" s="80">
        <v>38</v>
      </c>
      <c r="J102" s="233" t="s">
        <v>99</v>
      </c>
      <c r="K102" s="155">
        <v>0</v>
      </c>
      <c r="L102" s="143">
        <v>0</v>
      </c>
      <c r="M102" s="143">
        <v>0</v>
      </c>
      <c r="N102" s="156">
        <v>0</v>
      </c>
      <c r="O102" s="155">
        <v>0</v>
      </c>
      <c r="P102" s="143">
        <v>0</v>
      </c>
      <c r="Q102" s="144">
        <v>0</v>
      </c>
      <c r="R102" s="163">
        <v>0</v>
      </c>
      <c r="S102" s="155">
        <v>0</v>
      </c>
      <c r="T102" s="143">
        <v>0</v>
      </c>
      <c r="U102" s="143">
        <v>0</v>
      </c>
      <c r="V102" s="156">
        <v>0</v>
      </c>
      <c r="W102" s="155">
        <v>0</v>
      </c>
      <c r="X102" s="143">
        <v>0</v>
      </c>
      <c r="Y102" s="144">
        <v>0</v>
      </c>
      <c r="Z102" s="164">
        <v>0</v>
      </c>
      <c r="AA102" s="155">
        <v>0</v>
      </c>
      <c r="AB102" s="143">
        <v>0</v>
      </c>
      <c r="AC102" s="143">
        <v>0</v>
      </c>
      <c r="AD102" s="156">
        <v>0</v>
      </c>
      <c r="AE102" s="155">
        <v>0</v>
      </c>
      <c r="AF102" s="143">
        <v>0</v>
      </c>
      <c r="AG102" s="144">
        <v>0</v>
      </c>
      <c r="AH102" s="164">
        <v>0</v>
      </c>
    </row>
    <row r="103" spans="1:34" ht="57" customHeight="1" thickBot="1" x14ac:dyDescent="0.25">
      <c r="A103" s="2"/>
      <c r="I103" s="223" t="s">
        <v>101</v>
      </c>
      <c r="J103" s="229"/>
      <c r="K103" s="228" t="s">
        <v>89</v>
      </c>
      <c r="L103" s="82" t="s">
        <v>90</v>
      </c>
      <c r="M103" s="82" t="s">
        <v>91</v>
      </c>
      <c r="N103" s="82" t="s">
        <v>92</v>
      </c>
      <c r="O103" s="82" t="s">
        <v>93</v>
      </c>
      <c r="P103" s="82" t="s">
        <v>94</v>
      </c>
      <c r="Q103" s="82" t="s">
        <v>95</v>
      </c>
      <c r="R103" s="198" t="s">
        <v>96</v>
      </c>
      <c r="S103" s="199" t="s">
        <v>89</v>
      </c>
      <c r="T103" s="82" t="s">
        <v>90</v>
      </c>
      <c r="U103" s="82" t="s">
        <v>91</v>
      </c>
      <c r="V103" s="82" t="s">
        <v>92</v>
      </c>
      <c r="W103" s="82" t="s">
        <v>93</v>
      </c>
      <c r="X103" s="82" t="s">
        <v>94</v>
      </c>
      <c r="Y103" s="82" t="s">
        <v>95</v>
      </c>
      <c r="Z103" s="198" t="s">
        <v>96</v>
      </c>
      <c r="AA103" s="224"/>
      <c r="AB103" s="109"/>
      <c r="AC103" s="109"/>
      <c r="AD103" s="109"/>
      <c r="AE103" s="109"/>
      <c r="AF103" s="109"/>
      <c r="AG103" s="109"/>
      <c r="AH103" s="109"/>
    </row>
    <row r="104" spans="1:34" ht="19.5" thickBot="1" x14ac:dyDescent="0.25">
      <c r="A104" s="2"/>
      <c r="I104" s="79">
        <v>0</v>
      </c>
      <c r="J104" s="230">
        <v>2</v>
      </c>
      <c r="K104" s="158">
        <v>0</v>
      </c>
      <c r="L104" s="151">
        <v>0</v>
      </c>
      <c r="M104" s="151">
        <v>0</v>
      </c>
      <c r="N104" s="159">
        <v>0</v>
      </c>
      <c r="O104" s="158">
        <v>0</v>
      </c>
      <c r="P104" s="151">
        <v>0</v>
      </c>
      <c r="Q104" s="152">
        <v>0</v>
      </c>
      <c r="R104" s="163">
        <v>0</v>
      </c>
      <c r="S104" s="158">
        <v>0</v>
      </c>
      <c r="T104" s="151">
        <v>0</v>
      </c>
      <c r="U104" s="151">
        <v>0</v>
      </c>
      <c r="V104" s="159">
        <v>0</v>
      </c>
      <c r="W104" s="158">
        <v>0</v>
      </c>
      <c r="X104" s="151">
        <v>0</v>
      </c>
      <c r="Y104" s="152">
        <v>0</v>
      </c>
      <c r="Z104" s="163">
        <v>0</v>
      </c>
      <c r="AA104" s="109"/>
      <c r="AB104" s="109"/>
      <c r="AC104" s="109"/>
      <c r="AD104" s="109"/>
      <c r="AE104" s="109"/>
      <c r="AF104" s="109"/>
      <c r="AG104" s="109"/>
      <c r="AH104" s="109"/>
    </row>
    <row r="105" spans="1:34" ht="16.5" thickBot="1" x14ac:dyDescent="0.3">
      <c r="A105" s="2"/>
      <c r="I105" s="80">
        <v>1</v>
      </c>
      <c r="J105" s="234">
        <v>1</v>
      </c>
      <c r="K105" s="155">
        <v>0</v>
      </c>
      <c r="L105" s="143">
        <v>0</v>
      </c>
      <c r="M105" s="143">
        <v>0</v>
      </c>
      <c r="N105" s="156">
        <v>0</v>
      </c>
      <c r="O105" s="155">
        <v>0</v>
      </c>
      <c r="P105" s="143">
        <v>0</v>
      </c>
      <c r="Q105" s="144">
        <v>0</v>
      </c>
      <c r="R105" s="164">
        <v>0</v>
      </c>
      <c r="S105" s="155">
        <v>0</v>
      </c>
      <c r="T105" s="143">
        <v>0</v>
      </c>
      <c r="U105" s="143">
        <v>0</v>
      </c>
      <c r="V105" s="156">
        <v>0</v>
      </c>
      <c r="W105" s="155">
        <v>0</v>
      </c>
      <c r="X105" s="143">
        <v>0</v>
      </c>
      <c r="Y105" s="144">
        <v>0</v>
      </c>
      <c r="Z105" s="164">
        <v>0</v>
      </c>
      <c r="AA105" s="109"/>
      <c r="AB105" s="109"/>
      <c r="AC105" s="109"/>
      <c r="AD105" s="109"/>
      <c r="AE105" s="109"/>
      <c r="AF105" s="109"/>
      <c r="AG105" s="109"/>
      <c r="AH105" s="109"/>
    </row>
    <row r="106" spans="1:34" ht="19.5" thickBot="1" x14ac:dyDescent="0.25">
      <c r="A106" s="2"/>
      <c r="I106" s="80">
        <v>2</v>
      </c>
      <c r="J106" s="230">
        <v>93</v>
      </c>
      <c r="K106" s="155">
        <v>0</v>
      </c>
      <c r="L106" s="143">
        <v>0</v>
      </c>
      <c r="M106" s="143">
        <v>0</v>
      </c>
      <c r="N106" s="156">
        <v>0</v>
      </c>
      <c r="O106" s="155">
        <v>0</v>
      </c>
      <c r="P106" s="143">
        <v>0</v>
      </c>
      <c r="Q106" s="144">
        <v>0</v>
      </c>
      <c r="R106" s="164">
        <v>0</v>
      </c>
      <c r="S106" s="155">
        <v>0</v>
      </c>
      <c r="T106" s="143">
        <v>0</v>
      </c>
      <c r="U106" s="143">
        <v>0</v>
      </c>
      <c r="V106" s="156">
        <v>0</v>
      </c>
      <c r="W106" s="155">
        <v>0</v>
      </c>
      <c r="X106" s="143">
        <v>0</v>
      </c>
      <c r="Y106" s="144">
        <v>0</v>
      </c>
      <c r="Z106" s="164">
        <v>0</v>
      </c>
      <c r="AA106" s="109"/>
      <c r="AB106" s="109"/>
      <c r="AC106" s="109"/>
      <c r="AD106" s="109"/>
      <c r="AE106" s="109"/>
      <c r="AF106" s="109"/>
      <c r="AG106" s="109"/>
      <c r="AH106" s="109"/>
    </row>
    <row r="107" spans="1:34" ht="19.5" thickBot="1" x14ac:dyDescent="0.25">
      <c r="A107" s="2"/>
      <c r="I107" s="80">
        <v>3</v>
      </c>
      <c r="J107" s="230">
        <v>233</v>
      </c>
      <c r="K107" s="155">
        <v>0</v>
      </c>
      <c r="L107" s="143">
        <v>0</v>
      </c>
      <c r="M107" s="143">
        <v>0</v>
      </c>
      <c r="N107" s="156">
        <v>0</v>
      </c>
      <c r="O107" s="155">
        <v>0</v>
      </c>
      <c r="P107" s="143">
        <v>0</v>
      </c>
      <c r="Q107" s="144">
        <v>0</v>
      </c>
      <c r="R107" s="164">
        <v>0</v>
      </c>
      <c r="S107" s="155">
        <v>0</v>
      </c>
      <c r="T107" s="143">
        <v>0</v>
      </c>
      <c r="U107" s="143">
        <v>0</v>
      </c>
      <c r="V107" s="156">
        <v>0</v>
      </c>
      <c r="W107" s="155">
        <v>0</v>
      </c>
      <c r="X107" s="143">
        <v>0</v>
      </c>
      <c r="Y107" s="144">
        <v>0</v>
      </c>
      <c r="Z107" s="164">
        <v>0</v>
      </c>
      <c r="AA107" s="109"/>
      <c r="AB107" s="109"/>
      <c r="AC107" s="109"/>
      <c r="AD107" s="109"/>
      <c r="AE107" s="109"/>
      <c r="AF107" s="109"/>
      <c r="AG107" s="109"/>
      <c r="AH107" s="109"/>
    </row>
    <row r="108" spans="1:34" ht="19.5" thickBot="1" x14ac:dyDescent="0.25">
      <c r="A108" s="2"/>
      <c r="I108" s="80">
        <v>4</v>
      </c>
      <c r="J108" s="230">
        <v>3</v>
      </c>
      <c r="K108" s="155">
        <v>0</v>
      </c>
      <c r="L108" s="143">
        <v>0</v>
      </c>
      <c r="M108" s="143">
        <v>0</v>
      </c>
      <c r="N108" s="156">
        <v>0</v>
      </c>
      <c r="O108" s="155">
        <v>0</v>
      </c>
      <c r="P108" s="143">
        <v>0</v>
      </c>
      <c r="Q108" s="144">
        <v>0</v>
      </c>
      <c r="R108" s="164">
        <v>0</v>
      </c>
      <c r="S108" s="155">
        <v>0</v>
      </c>
      <c r="T108" s="143">
        <v>0</v>
      </c>
      <c r="U108" s="143">
        <v>0</v>
      </c>
      <c r="V108" s="156">
        <v>0</v>
      </c>
      <c r="W108" s="155">
        <v>0</v>
      </c>
      <c r="X108" s="143">
        <v>0</v>
      </c>
      <c r="Y108" s="144">
        <v>0</v>
      </c>
      <c r="Z108" s="164">
        <v>0</v>
      </c>
      <c r="AA108" s="109"/>
      <c r="AB108" s="109"/>
      <c r="AC108" s="109"/>
      <c r="AD108" s="109"/>
      <c r="AE108" s="109"/>
      <c r="AF108" s="109"/>
      <c r="AG108" s="109"/>
      <c r="AH108" s="109"/>
    </row>
    <row r="109" spans="1:34" ht="19.5" thickBot="1" x14ac:dyDescent="0.25">
      <c r="A109" s="2"/>
      <c r="I109" s="80">
        <v>5</v>
      </c>
      <c r="J109" s="230">
        <v>91</v>
      </c>
      <c r="K109" s="155">
        <v>0</v>
      </c>
      <c r="L109" s="143">
        <v>0</v>
      </c>
      <c r="M109" s="143">
        <v>0</v>
      </c>
      <c r="N109" s="156">
        <v>0</v>
      </c>
      <c r="O109" s="155">
        <v>0</v>
      </c>
      <c r="P109" s="143">
        <v>0</v>
      </c>
      <c r="Q109" s="144">
        <v>0</v>
      </c>
      <c r="R109" s="164">
        <v>0</v>
      </c>
      <c r="S109" s="155">
        <v>0</v>
      </c>
      <c r="T109" s="143">
        <v>0</v>
      </c>
      <c r="U109" s="143">
        <v>0</v>
      </c>
      <c r="V109" s="156">
        <v>0</v>
      </c>
      <c r="W109" s="155">
        <v>0</v>
      </c>
      <c r="X109" s="143">
        <v>0</v>
      </c>
      <c r="Y109" s="144">
        <v>0</v>
      </c>
      <c r="Z109" s="164">
        <v>0</v>
      </c>
      <c r="AA109" s="109"/>
      <c r="AB109" s="109"/>
      <c r="AC109" s="109"/>
      <c r="AD109" s="109"/>
      <c r="AE109" s="109"/>
      <c r="AF109" s="109"/>
      <c r="AG109" s="109"/>
      <c r="AH109" s="109"/>
    </row>
    <row r="110" spans="1:34" ht="16.5" customHeight="1" thickBot="1" x14ac:dyDescent="0.25">
      <c r="A110" s="2"/>
      <c r="I110" s="80">
        <v>6</v>
      </c>
      <c r="J110" s="230">
        <v>227</v>
      </c>
      <c r="K110" s="155">
        <v>0</v>
      </c>
      <c r="L110" s="143">
        <v>0</v>
      </c>
      <c r="M110" s="143">
        <v>0</v>
      </c>
      <c r="N110" s="156">
        <v>0</v>
      </c>
      <c r="O110" s="155">
        <v>0</v>
      </c>
      <c r="P110" s="143">
        <v>0</v>
      </c>
      <c r="Q110" s="144">
        <v>0</v>
      </c>
      <c r="R110" s="164">
        <v>0</v>
      </c>
      <c r="S110" s="155">
        <v>0</v>
      </c>
      <c r="T110" s="143">
        <v>0</v>
      </c>
      <c r="U110" s="143">
        <v>0</v>
      </c>
      <c r="V110" s="156">
        <v>0</v>
      </c>
      <c r="W110" s="155">
        <v>0</v>
      </c>
      <c r="X110" s="143">
        <v>0</v>
      </c>
      <c r="Y110" s="144">
        <v>0</v>
      </c>
      <c r="Z110" s="164">
        <v>0</v>
      </c>
      <c r="AA110" s="109"/>
      <c r="AB110" s="110"/>
      <c r="AC110" s="109"/>
      <c r="AD110" s="109"/>
      <c r="AE110" s="109"/>
      <c r="AF110" s="109"/>
      <c r="AG110" s="109"/>
      <c r="AH110" s="109"/>
    </row>
    <row r="111" spans="1:34" ht="16.5" customHeight="1" thickBot="1" x14ac:dyDescent="0.25">
      <c r="A111" s="2"/>
      <c r="I111" s="80">
        <v>7</v>
      </c>
      <c r="J111" s="230">
        <v>7</v>
      </c>
      <c r="K111" s="155">
        <v>0</v>
      </c>
      <c r="L111" s="143">
        <v>0</v>
      </c>
      <c r="M111" s="143">
        <v>0</v>
      </c>
      <c r="N111" s="156">
        <v>0</v>
      </c>
      <c r="O111" s="155">
        <v>0</v>
      </c>
      <c r="P111" s="143">
        <v>0</v>
      </c>
      <c r="Q111" s="144">
        <v>0</v>
      </c>
      <c r="R111" s="164">
        <v>0</v>
      </c>
      <c r="S111" s="155">
        <v>0</v>
      </c>
      <c r="T111" s="143">
        <v>0</v>
      </c>
      <c r="U111" s="143">
        <v>0</v>
      </c>
      <c r="V111" s="156">
        <v>0</v>
      </c>
      <c r="W111" s="155">
        <v>0</v>
      </c>
      <c r="X111" s="143">
        <v>0</v>
      </c>
      <c r="Y111" s="144">
        <v>0</v>
      </c>
      <c r="Z111" s="164">
        <v>0</v>
      </c>
      <c r="AA111" s="109"/>
      <c r="AB111" s="109"/>
      <c r="AC111" s="109"/>
      <c r="AD111" s="109"/>
      <c r="AE111" s="109"/>
      <c r="AF111" s="109"/>
      <c r="AG111" s="109"/>
      <c r="AH111" s="109"/>
    </row>
    <row r="112" spans="1:34" ht="18" customHeight="1" thickBot="1" x14ac:dyDescent="0.25">
      <c r="A112" s="2"/>
      <c r="I112" s="80">
        <v>8</v>
      </c>
      <c r="J112" s="230">
        <v>87</v>
      </c>
      <c r="K112" s="155">
        <v>0</v>
      </c>
      <c r="L112" s="143">
        <v>0</v>
      </c>
      <c r="M112" s="143">
        <v>0</v>
      </c>
      <c r="N112" s="156">
        <v>0</v>
      </c>
      <c r="O112" s="155">
        <v>0</v>
      </c>
      <c r="P112" s="143">
        <v>0</v>
      </c>
      <c r="Q112" s="144">
        <v>0</v>
      </c>
      <c r="R112" s="164">
        <v>0</v>
      </c>
      <c r="S112" s="155">
        <v>0</v>
      </c>
      <c r="T112" s="143">
        <v>0</v>
      </c>
      <c r="U112" s="143">
        <v>0</v>
      </c>
      <c r="V112" s="156">
        <v>0</v>
      </c>
      <c r="W112" s="155">
        <v>0</v>
      </c>
      <c r="X112" s="143">
        <v>0</v>
      </c>
      <c r="Y112" s="144">
        <v>0</v>
      </c>
      <c r="Z112" s="164">
        <v>0</v>
      </c>
      <c r="AA112" s="109"/>
      <c r="AB112" s="109"/>
      <c r="AC112" s="109"/>
      <c r="AD112" s="109"/>
      <c r="AE112" s="109"/>
      <c r="AF112" s="109"/>
      <c r="AG112" s="109"/>
      <c r="AH112" s="109"/>
    </row>
    <row r="113" spans="1:34" ht="18.75" customHeight="1" thickBot="1" x14ac:dyDescent="0.25">
      <c r="A113" s="2"/>
      <c r="I113" s="80">
        <v>9</v>
      </c>
      <c r="J113" s="230">
        <v>215</v>
      </c>
      <c r="K113" s="155">
        <v>0</v>
      </c>
      <c r="L113" s="143">
        <v>0</v>
      </c>
      <c r="M113" s="143">
        <v>0</v>
      </c>
      <c r="N113" s="156">
        <v>0</v>
      </c>
      <c r="O113" s="155">
        <v>0</v>
      </c>
      <c r="P113" s="143">
        <v>0</v>
      </c>
      <c r="Q113" s="144">
        <v>0</v>
      </c>
      <c r="R113" s="164">
        <v>0</v>
      </c>
      <c r="S113" s="155">
        <v>0</v>
      </c>
      <c r="T113" s="143">
        <v>0</v>
      </c>
      <c r="U113" s="143">
        <v>0</v>
      </c>
      <c r="V113" s="156">
        <v>0</v>
      </c>
      <c r="W113" s="155">
        <v>0</v>
      </c>
      <c r="X113" s="143">
        <v>0</v>
      </c>
      <c r="Y113" s="144">
        <v>0</v>
      </c>
      <c r="Z113" s="164">
        <v>0</v>
      </c>
      <c r="AA113" s="109"/>
      <c r="AB113" s="109"/>
      <c r="AC113" s="109"/>
      <c r="AD113" s="109"/>
      <c r="AE113" s="109"/>
      <c r="AF113" s="109"/>
      <c r="AG113" s="109"/>
      <c r="AH113" s="109"/>
    </row>
    <row r="114" spans="1:34" ht="18" customHeight="1" thickBot="1" x14ac:dyDescent="0.25">
      <c r="A114" s="2"/>
      <c r="I114" s="80">
        <v>10</v>
      </c>
      <c r="J114" s="230">
        <v>15</v>
      </c>
      <c r="K114" s="155">
        <v>0</v>
      </c>
      <c r="L114" s="143">
        <v>0</v>
      </c>
      <c r="M114" s="143">
        <v>0</v>
      </c>
      <c r="N114" s="156">
        <v>0</v>
      </c>
      <c r="O114" s="155">
        <v>0</v>
      </c>
      <c r="P114" s="143">
        <v>0</v>
      </c>
      <c r="Q114" s="144">
        <v>0</v>
      </c>
      <c r="R114" s="164">
        <v>0</v>
      </c>
      <c r="S114" s="155">
        <v>0</v>
      </c>
      <c r="T114" s="143">
        <v>0</v>
      </c>
      <c r="U114" s="143">
        <v>0</v>
      </c>
      <c r="V114" s="156">
        <v>0</v>
      </c>
      <c r="W114" s="155">
        <v>0</v>
      </c>
      <c r="X114" s="143">
        <v>0</v>
      </c>
      <c r="Y114" s="144">
        <v>0</v>
      </c>
      <c r="Z114" s="164">
        <v>0</v>
      </c>
      <c r="AA114" s="109"/>
      <c r="AB114" s="109"/>
      <c r="AC114" s="109"/>
      <c r="AD114" s="109"/>
      <c r="AE114" s="109"/>
      <c r="AF114" s="109"/>
      <c r="AG114" s="109"/>
      <c r="AH114" s="109"/>
    </row>
    <row r="115" spans="1:34" ht="19.5" thickBot="1" x14ac:dyDescent="0.25">
      <c r="A115" s="2"/>
      <c r="I115" s="80">
        <v>11</v>
      </c>
      <c r="J115" s="230">
        <v>79</v>
      </c>
      <c r="K115" s="155">
        <v>0</v>
      </c>
      <c r="L115" s="143">
        <v>0</v>
      </c>
      <c r="M115" s="143">
        <v>0</v>
      </c>
      <c r="N115" s="156">
        <v>0</v>
      </c>
      <c r="O115" s="155">
        <v>0</v>
      </c>
      <c r="P115" s="143">
        <v>0</v>
      </c>
      <c r="Q115" s="144">
        <v>0</v>
      </c>
      <c r="R115" s="164">
        <v>0</v>
      </c>
      <c r="S115" s="155">
        <v>0</v>
      </c>
      <c r="T115" s="143">
        <v>0</v>
      </c>
      <c r="U115" s="143">
        <v>0</v>
      </c>
      <c r="V115" s="156">
        <v>0</v>
      </c>
      <c r="W115" s="155">
        <v>0</v>
      </c>
      <c r="X115" s="143">
        <v>0</v>
      </c>
      <c r="Y115" s="144">
        <v>0</v>
      </c>
      <c r="Z115" s="164">
        <v>0</v>
      </c>
      <c r="AA115" s="109"/>
      <c r="AB115" s="109"/>
      <c r="AC115" s="109"/>
      <c r="AD115" s="109"/>
      <c r="AE115" s="109"/>
      <c r="AF115" s="109"/>
      <c r="AG115" s="109"/>
      <c r="AH115" s="109"/>
    </row>
    <row r="116" spans="1:34" ht="16.5" customHeight="1" thickBot="1" x14ac:dyDescent="0.25">
      <c r="A116" s="2"/>
      <c r="I116" s="80">
        <v>12</v>
      </c>
      <c r="J116" s="230">
        <v>207</v>
      </c>
      <c r="K116" s="155">
        <v>0</v>
      </c>
      <c r="L116" s="143">
        <v>0</v>
      </c>
      <c r="M116" s="143">
        <v>0</v>
      </c>
      <c r="N116" s="156">
        <v>0</v>
      </c>
      <c r="O116" s="155">
        <v>0</v>
      </c>
      <c r="P116" s="143">
        <v>0</v>
      </c>
      <c r="Q116" s="144">
        <v>0</v>
      </c>
      <c r="R116" s="164">
        <v>0</v>
      </c>
      <c r="S116" s="155">
        <v>0</v>
      </c>
      <c r="T116" s="143">
        <v>0</v>
      </c>
      <c r="U116" s="143">
        <v>0</v>
      </c>
      <c r="V116" s="156">
        <v>0</v>
      </c>
      <c r="W116" s="155">
        <v>0</v>
      </c>
      <c r="X116" s="143">
        <v>0</v>
      </c>
      <c r="Y116" s="144">
        <v>0</v>
      </c>
      <c r="Z116" s="164">
        <v>0</v>
      </c>
      <c r="AA116" s="109"/>
      <c r="AB116" s="109"/>
      <c r="AC116" s="109"/>
      <c r="AD116" s="109"/>
      <c r="AE116" s="109"/>
      <c r="AF116" s="109"/>
      <c r="AG116" s="109"/>
      <c r="AH116" s="109"/>
    </row>
    <row r="117" spans="1:34" ht="16.5" customHeight="1" thickBot="1" x14ac:dyDescent="0.25">
      <c r="A117" s="2"/>
      <c r="I117" s="80">
        <v>13</v>
      </c>
      <c r="J117" s="230">
        <v>31</v>
      </c>
      <c r="K117" s="155">
        <v>0</v>
      </c>
      <c r="L117" s="143">
        <v>0</v>
      </c>
      <c r="M117" s="143">
        <v>0</v>
      </c>
      <c r="N117" s="156">
        <v>0</v>
      </c>
      <c r="O117" s="155">
        <v>0</v>
      </c>
      <c r="P117" s="143">
        <v>0</v>
      </c>
      <c r="Q117" s="144">
        <v>0</v>
      </c>
      <c r="R117" s="164">
        <v>0</v>
      </c>
      <c r="S117" s="155">
        <v>0</v>
      </c>
      <c r="T117" s="143">
        <v>0</v>
      </c>
      <c r="U117" s="143">
        <v>0</v>
      </c>
      <c r="V117" s="156">
        <v>0</v>
      </c>
      <c r="W117" s="155">
        <v>0</v>
      </c>
      <c r="X117" s="143">
        <v>0</v>
      </c>
      <c r="Y117" s="144">
        <v>0</v>
      </c>
      <c r="Z117" s="164">
        <v>0</v>
      </c>
      <c r="AA117" s="109"/>
      <c r="AB117" s="109"/>
      <c r="AC117" s="109"/>
      <c r="AD117" s="109"/>
      <c r="AE117" s="109"/>
      <c r="AF117" s="109"/>
      <c r="AG117" s="109"/>
      <c r="AH117" s="109"/>
    </row>
    <row r="118" spans="1:34" ht="19.5" thickBot="1" x14ac:dyDescent="0.25">
      <c r="A118" s="2"/>
      <c r="I118" s="80">
        <v>14</v>
      </c>
      <c r="J118" s="230">
        <v>63</v>
      </c>
      <c r="K118" s="155">
        <v>0</v>
      </c>
      <c r="L118" s="143">
        <v>0</v>
      </c>
      <c r="M118" s="143">
        <v>0</v>
      </c>
      <c r="N118" s="156">
        <v>0</v>
      </c>
      <c r="O118" s="155">
        <v>0</v>
      </c>
      <c r="P118" s="143">
        <v>0</v>
      </c>
      <c r="Q118" s="144">
        <v>0</v>
      </c>
      <c r="R118" s="164">
        <v>0</v>
      </c>
      <c r="S118" s="155">
        <v>0</v>
      </c>
      <c r="T118" s="143">
        <v>0</v>
      </c>
      <c r="U118" s="143">
        <v>0</v>
      </c>
      <c r="V118" s="156">
        <v>0</v>
      </c>
      <c r="W118" s="155">
        <v>0</v>
      </c>
      <c r="X118" s="143">
        <v>0</v>
      </c>
      <c r="Y118" s="144">
        <v>0</v>
      </c>
      <c r="Z118" s="164">
        <v>0</v>
      </c>
      <c r="AA118" s="109"/>
      <c r="AB118" s="109"/>
      <c r="AC118" s="109"/>
      <c r="AD118" s="109"/>
      <c r="AE118" s="109"/>
      <c r="AF118" s="109"/>
      <c r="AG118" s="109"/>
      <c r="AH118" s="109"/>
    </row>
    <row r="119" spans="1:34" ht="19.5" thickBot="1" x14ac:dyDescent="0.25">
      <c r="A119" s="2"/>
      <c r="I119" s="80">
        <v>15</v>
      </c>
      <c r="J119" s="230">
        <v>191</v>
      </c>
      <c r="K119" s="155">
        <v>0</v>
      </c>
      <c r="L119" s="143">
        <v>0</v>
      </c>
      <c r="M119" s="143">
        <v>0</v>
      </c>
      <c r="N119" s="156">
        <v>0</v>
      </c>
      <c r="O119" s="155">
        <v>0</v>
      </c>
      <c r="P119" s="143">
        <v>0</v>
      </c>
      <c r="Q119" s="144">
        <v>0</v>
      </c>
      <c r="R119" s="164">
        <v>0</v>
      </c>
      <c r="S119" s="155">
        <v>0</v>
      </c>
      <c r="T119" s="143">
        <v>0</v>
      </c>
      <c r="U119" s="143">
        <v>0</v>
      </c>
      <c r="V119" s="156">
        <v>0</v>
      </c>
      <c r="W119" s="155">
        <v>0</v>
      </c>
      <c r="X119" s="143">
        <v>0</v>
      </c>
      <c r="Y119" s="144">
        <v>0</v>
      </c>
      <c r="Z119" s="164">
        <v>0</v>
      </c>
      <c r="AA119" s="109"/>
      <c r="AB119" s="109"/>
      <c r="AC119" s="109"/>
      <c r="AD119" s="109"/>
      <c r="AE119" s="109"/>
      <c r="AF119" s="109"/>
      <c r="AG119" s="109"/>
      <c r="AH119" s="109"/>
    </row>
    <row r="120" spans="1:34" ht="15.75" thickBot="1" x14ac:dyDescent="0.25">
      <c r="A120" s="2"/>
      <c r="I120" s="80">
        <v>16</v>
      </c>
      <c r="J120" s="231" t="s">
        <v>99</v>
      </c>
      <c r="K120" s="155">
        <v>0</v>
      </c>
      <c r="L120" s="143">
        <v>0</v>
      </c>
      <c r="M120" s="143">
        <v>0</v>
      </c>
      <c r="N120" s="156">
        <v>0</v>
      </c>
      <c r="O120" s="155">
        <v>0</v>
      </c>
      <c r="P120" s="143">
        <v>0</v>
      </c>
      <c r="Q120" s="144">
        <v>0</v>
      </c>
      <c r="R120" s="164">
        <v>0</v>
      </c>
      <c r="S120" s="155">
        <v>0</v>
      </c>
      <c r="T120" s="143">
        <v>0</v>
      </c>
      <c r="U120" s="143">
        <v>0</v>
      </c>
      <c r="V120" s="156">
        <v>0</v>
      </c>
      <c r="W120" s="155">
        <v>0</v>
      </c>
      <c r="X120" s="143">
        <v>0</v>
      </c>
      <c r="Y120" s="144">
        <v>0</v>
      </c>
      <c r="Z120" s="164">
        <v>0</v>
      </c>
      <c r="AA120" s="109"/>
      <c r="AB120" s="109"/>
      <c r="AC120" s="109"/>
      <c r="AD120" s="109"/>
      <c r="AE120" s="109"/>
      <c r="AF120" s="109"/>
      <c r="AG120" s="109"/>
      <c r="AH120" s="109"/>
    </row>
    <row r="121" spans="1:34" ht="15.75" thickBot="1" x14ac:dyDescent="0.25">
      <c r="A121" s="2"/>
      <c r="I121" s="80">
        <v>17</v>
      </c>
      <c r="J121" s="231" t="s">
        <v>99</v>
      </c>
      <c r="K121" s="155">
        <v>0</v>
      </c>
      <c r="L121" s="143">
        <v>0</v>
      </c>
      <c r="M121" s="143">
        <v>0</v>
      </c>
      <c r="N121" s="156">
        <v>0</v>
      </c>
      <c r="O121" s="155">
        <v>0</v>
      </c>
      <c r="P121" s="143">
        <v>0</v>
      </c>
      <c r="Q121" s="144">
        <v>0</v>
      </c>
      <c r="R121" s="164">
        <v>0</v>
      </c>
      <c r="S121" s="155">
        <v>0</v>
      </c>
      <c r="T121" s="143">
        <v>0</v>
      </c>
      <c r="U121" s="143">
        <v>0</v>
      </c>
      <c r="V121" s="156">
        <v>0</v>
      </c>
      <c r="W121" s="155">
        <v>0</v>
      </c>
      <c r="X121" s="143">
        <v>0</v>
      </c>
      <c r="Y121" s="144">
        <v>0</v>
      </c>
      <c r="Z121" s="164">
        <v>0</v>
      </c>
      <c r="AA121" s="109"/>
      <c r="AB121" s="109"/>
      <c r="AC121" s="109"/>
      <c r="AD121" s="109"/>
      <c r="AE121" s="109"/>
      <c r="AF121" s="109"/>
      <c r="AG121" s="109"/>
      <c r="AH121" s="109"/>
    </row>
    <row r="122" spans="1:34" ht="15.75" thickBot="1" x14ac:dyDescent="0.25">
      <c r="A122" s="2"/>
      <c r="I122" s="80">
        <v>18</v>
      </c>
      <c r="J122" s="231" t="s">
        <v>99</v>
      </c>
      <c r="K122" s="155">
        <v>0</v>
      </c>
      <c r="L122" s="143">
        <v>0</v>
      </c>
      <c r="M122" s="143">
        <v>0</v>
      </c>
      <c r="N122" s="156">
        <v>0</v>
      </c>
      <c r="O122" s="155">
        <v>0</v>
      </c>
      <c r="P122" s="143">
        <v>0</v>
      </c>
      <c r="Q122" s="144">
        <v>0</v>
      </c>
      <c r="R122" s="164">
        <v>0</v>
      </c>
      <c r="S122" s="155">
        <v>0</v>
      </c>
      <c r="T122" s="143">
        <v>0</v>
      </c>
      <c r="U122" s="143">
        <v>0</v>
      </c>
      <c r="V122" s="156">
        <v>0</v>
      </c>
      <c r="W122" s="155">
        <v>0</v>
      </c>
      <c r="X122" s="143">
        <v>0</v>
      </c>
      <c r="Y122" s="144">
        <v>0</v>
      </c>
      <c r="Z122" s="164">
        <v>0</v>
      </c>
      <c r="AA122" s="109"/>
      <c r="AB122" s="109"/>
      <c r="AC122" s="109"/>
      <c r="AD122" s="109"/>
      <c r="AE122" s="109"/>
      <c r="AF122" s="109"/>
      <c r="AG122" s="109"/>
      <c r="AH122" s="109"/>
    </row>
    <row r="123" spans="1:34" ht="15.75" thickBot="1" x14ac:dyDescent="0.25">
      <c r="A123" s="2"/>
      <c r="I123" s="80">
        <v>19</v>
      </c>
      <c r="J123" s="231" t="s">
        <v>99</v>
      </c>
      <c r="K123" s="155">
        <v>0</v>
      </c>
      <c r="L123" s="143">
        <v>0</v>
      </c>
      <c r="M123" s="143">
        <v>0</v>
      </c>
      <c r="N123" s="156">
        <v>0</v>
      </c>
      <c r="O123" s="155">
        <v>0</v>
      </c>
      <c r="P123" s="143">
        <v>0</v>
      </c>
      <c r="Q123" s="143">
        <v>0</v>
      </c>
      <c r="R123" s="164">
        <v>0</v>
      </c>
      <c r="S123" s="155">
        <v>0</v>
      </c>
      <c r="T123" s="143">
        <v>0</v>
      </c>
      <c r="U123" s="143">
        <v>0</v>
      </c>
      <c r="V123" s="156">
        <v>0</v>
      </c>
      <c r="W123" s="155">
        <v>0</v>
      </c>
      <c r="X123" s="143">
        <v>0</v>
      </c>
      <c r="Y123" s="143">
        <v>0</v>
      </c>
      <c r="Z123" s="164">
        <v>0</v>
      </c>
      <c r="AA123" s="109"/>
      <c r="AB123" s="109"/>
      <c r="AC123" s="109"/>
      <c r="AD123" s="109"/>
      <c r="AE123" s="109"/>
      <c r="AF123" s="109"/>
      <c r="AG123" s="109"/>
      <c r="AH123" s="109"/>
    </row>
    <row r="124" spans="1:34" ht="15.75" thickBot="1" x14ac:dyDescent="0.25">
      <c r="A124" s="2"/>
      <c r="I124" s="80">
        <v>20</v>
      </c>
      <c r="J124" s="231" t="s">
        <v>99</v>
      </c>
      <c r="K124" s="155">
        <v>0</v>
      </c>
      <c r="L124" s="143">
        <v>0</v>
      </c>
      <c r="M124" s="143">
        <v>0</v>
      </c>
      <c r="N124" s="156">
        <v>0</v>
      </c>
      <c r="O124" s="155">
        <v>0</v>
      </c>
      <c r="P124" s="143">
        <v>0</v>
      </c>
      <c r="Q124" s="143">
        <v>0</v>
      </c>
      <c r="R124" s="164">
        <v>0</v>
      </c>
      <c r="S124" s="155">
        <v>0</v>
      </c>
      <c r="T124" s="143">
        <v>0</v>
      </c>
      <c r="U124" s="143">
        <v>0</v>
      </c>
      <c r="V124" s="156">
        <v>0</v>
      </c>
      <c r="W124" s="155">
        <v>0</v>
      </c>
      <c r="X124" s="143">
        <v>0</v>
      </c>
      <c r="Y124" s="143">
        <v>0</v>
      </c>
      <c r="Z124" s="164">
        <v>0</v>
      </c>
      <c r="AA124" s="109"/>
      <c r="AB124" s="109"/>
      <c r="AC124" s="109"/>
      <c r="AD124" s="109"/>
      <c r="AE124" s="109"/>
      <c r="AF124" s="109"/>
      <c r="AG124" s="109"/>
      <c r="AH124" s="109"/>
    </row>
    <row r="125" spans="1:34" ht="15.75" thickBot="1" x14ac:dyDescent="0.25">
      <c r="A125" s="2"/>
      <c r="I125" s="80">
        <v>21</v>
      </c>
      <c r="J125" s="231" t="s">
        <v>99</v>
      </c>
      <c r="K125" s="155">
        <v>0</v>
      </c>
      <c r="L125" s="143">
        <v>0</v>
      </c>
      <c r="M125" s="143">
        <v>0</v>
      </c>
      <c r="N125" s="156">
        <v>0</v>
      </c>
      <c r="O125" s="155">
        <v>0</v>
      </c>
      <c r="P125" s="143">
        <v>0</v>
      </c>
      <c r="Q125" s="143">
        <v>0</v>
      </c>
      <c r="R125" s="164">
        <v>0</v>
      </c>
      <c r="S125" s="155">
        <v>0</v>
      </c>
      <c r="T125" s="143">
        <v>0</v>
      </c>
      <c r="U125" s="143">
        <v>0</v>
      </c>
      <c r="V125" s="156">
        <v>0</v>
      </c>
      <c r="W125" s="155">
        <v>0</v>
      </c>
      <c r="X125" s="143">
        <v>0</v>
      </c>
      <c r="Y125" s="143">
        <v>0</v>
      </c>
      <c r="Z125" s="164">
        <v>0</v>
      </c>
      <c r="AA125" s="109"/>
      <c r="AB125" s="109"/>
      <c r="AC125" s="109"/>
      <c r="AD125" s="109"/>
      <c r="AE125" s="109"/>
      <c r="AF125" s="109"/>
      <c r="AG125" s="109"/>
      <c r="AH125" s="109"/>
    </row>
    <row r="126" spans="1:34" ht="15.75" thickBot="1" x14ac:dyDescent="0.25">
      <c r="A126" s="2"/>
      <c r="I126" s="80">
        <v>22</v>
      </c>
      <c r="J126" s="231" t="s">
        <v>99</v>
      </c>
      <c r="K126" s="155">
        <v>0</v>
      </c>
      <c r="L126" s="143">
        <v>0</v>
      </c>
      <c r="M126" s="143">
        <v>0</v>
      </c>
      <c r="N126" s="156">
        <v>0</v>
      </c>
      <c r="O126" s="155">
        <v>0</v>
      </c>
      <c r="P126" s="143">
        <v>0</v>
      </c>
      <c r="Q126" s="144">
        <v>0</v>
      </c>
      <c r="R126" s="164">
        <v>0</v>
      </c>
      <c r="S126" s="155">
        <v>0</v>
      </c>
      <c r="T126" s="143">
        <v>0</v>
      </c>
      <c r="U126" s="143">
        <v>0</v>
      </c>
      <c r="V126" s="156">
        <v>0</v>
      </c>
      <c r="W126" s="155">
        <v>0</v>
      </c>
      <c r="X126" s="143">
        <v>0</v>
      </c>
      <c r="Y126" s="144">
        <v>0</v>
      </c>
      <c r="Z126" s="164">
        <v>0</v>
      </c>
      <c r="AA126" s="109"/>
      <c r="AB126" s="109"/>
      <c r="AC126" s="109"/>
      <c r="AD126" s="109"/>
      <c r="AE126" s="109"/>
      <c r="AF126" s="109"/>
      <c r="AG126" s="109"/>
      <c r="AH126" s="109"/>
    </row>
    <row r="127" spans="1:34" ht="15.75" thickBot="1" x14ac:dyDescent="0.25">
      <c r="A127" s="2"/>
      <c r="I127" s="80">
        <v>23</v>
      </c>
      <c r="J127" s="231" t="s">
        <v>99</v>
      </c>
      <c r="K127" s="155">
        <v>0</v>
      </c>
      <c r="L127" s="143">
        <v>0</v>
      </c>
      <c r="M127" s="143">
        <v>0</v>
      </c>
      <c r="N127" s="156">
        <v>0</v>
      </c>
      <c r="O127" s="155">
        <v>0</v>
      </c>
      <c r="P127" s="143">
        <v>0</v>
      </c>
      <c r="Q127" s="144">
        <v>0</v>
      </c>
      <c r="R127" s="164">
        <v>0</v>
      </c>
      <c r="S127" s="155">
        <v>0</v>
      </c>
      <c r="T127" s="143">
        <v>0</v>
      </c>
      <c r="U127" s="143">
        <v>0</v>
      </c>
      <c r="V127" s="156">
        <v>0</v>
      </c>
      <c r="W127" s="155">
        <v>0</v>
      </c>
      <c r="X127" s="143">
        <v>0</v>
      </c>
      <c r="Y127" s="144">
        <v>0</v>
      </c>
      <c r="Z127" s="164">
        <v>0</v>
      </c>
      <c r="AA127" s="109"/>
      <c r="AB127" s="109"/>
      <c r="AC127" s="109"/>
      <c r="AD127" s="109"/>
      <c r="AE127" s="109"/>
      <c r="AF127" s="109"/>
      <c r="AG127" s="109"/>
      <c r="AH127" s="109"/>
    </row>
    <row r="128" spans="1:34" ht="15.75" thickBot="1" x14ac:dyDescent="0.25">
      <c r="A128" s="2"/>
      <c r="I128" s="80">
        <v>24</v>
      </c>
      <c r="J128" s="231" t="s">
        <v>99</v>
      </c>
      <c r="K128" s="155">
        <v>0</v>
      </c>
      <c r="L128" s="143">
        <v>0</v>
      </c>
      <c r="M128" s="143">
        <v>0</v>
      </c>
      <c r="N128" s="156">
        <v>0</v>
      </c>
      <c r="O128" s="155">
        <v>0</v>
      </c>
      <c r="P128" s="143">
        <v>0</v>
      </c>
      <c r="Q128" s="144">
        <v>0</v>
      </c>
      <c r="R128" s="164">
        <v>0</v>
      </c>
      <c r="S128" s="155">
        <v>0</v>
      </c>
      <c r="T128" s="143">
        <v>0</v>
      </c>
      <c r="U128" s="143">
        <v>0</v>
      </c>
      <c r="V128" s="156">
        <v>0</v>
      </c>
      <c r="W128" s="155">
        <v>0</v>
      </c>
      <c r="X128" s="143">
        <v>0</v>
      </c>
      <c r="Y128" s="144">
        <v>0</v>
      </c>
      <c r="Z128" s="164">
        <v>0</v>
      </c>
      <c r="AA128" s="109"/>
      <c r="AB128" s="109"/>
      <c r="AC128" s="109"/>
      <c r="AD128" s="109"/>
      <c r="AE128" s="109"/>
      <c r="AF128" s="109"/>
      <c r="AG128" s="109"/>
      <c r="AH128" s="109"/>
    </row>
    <row r="129" spans="1:34" ht="15.75" thickBot="1" x14ac:dyDescent="0.25">
      <c r="A129" s="2"/>
      <c r="I129" s="80">
        <v>25</v>
      </c>
      <c r="J129" s="231" t="s">
        <v>99</v>
      </c>
      <c r="K129" s="155">
        <v>0</v>
      </c>
      <c r="L129" s="143">
        <v>0</v>
      </c>
      <c r="M129" s="143">
        <v>0</v>
      </c>
      <c r="N129" s="156">
        <v>0</v>
      </c>
      <c r="O129" s="155">
        <v>0</v>
      </c>
      <c r="P129" s="143">
        <v>0</v>
      </c>
      <c r="Q129" s="144">
        <v>0</v>
      </c>
      <c r="R129" s="164">
        <v>0</v>
      </c>
      <c r="S129" s="155">
        <v>0</v>
      </c>
      <c r="T129" s="143">
        <v>0</v>
      </c>
      <c r="U129" s="143">
        <v>0</v>
      </c>
      <c r="V129" s="156">
        <v>0</v>
      </c>
      <c r="W129" s="155">
        <v>0</v>
      </c>
      <c r="X129" s="143">
        <v>0</v>
      </c>
      <c r="Y129" s="144">
        <v>0</v>
      </c>
      <c r="Z129" s="164">
        <v>0</v>
      </c>
      <c r="AA129" s="109"/>
      <c r="AB129" s="109"/>
      <c r="AC129" s="109"/>
      <c r="AD129" s="109"/>
      <c r="AE129" s="109"/>
      <c r="AF129" s="109"/>
      <c r="AG129" s="109"/>
      <c r="AH129" s="109"/>
    </row>
    <row r="130" spans="1:34" ht="19.5" customHeight="1" thickBot="1" x14ac:dyDescent="0.25">
      <c r="A130" s="2"/>
      <c r="I130" s="80">
        <v>26</v>
      </c>
      <c r="J130" s="231" t="s">
        <v>99</v>
      </c>
      <c r="K130" s="155">
        <v>0</v>
      </c>
      <c r="L130" s="143">
        <v>0</v>
      </c>
      <c r="M130" s="143">
        <v>0</v>
      </c>
      <c r="N130" s="156">
        <v>0</v>
      </c>
      <c r="O130" s="155">
        <v>0</v>
      </c>
      <c r="P130" s="143">
        <v>0</v>
      </c>
      <c r="Q130" s="144">
        <v>0</v>
      </c>
      <c r="R130" s="164">
        <v>0</v>
      </c>
      <c r="S130" s="155">
        <v>0</v>
      </c>
      <c r="T130" s="143">
        <v>0</v>
      </c>
      <c r="U130" s="143">
        <v>0</v>
      </c>
      <c r="V130" s="156">
        <v>0</v>
      </c>
      <c r="W130" s="155">
        <v>0</v>
      </c>
      <c r="X130" s="143">
        <v>0</v>
      </c>
      <c r="Y130" s="144">
        <v>0</v>
      </c>
      <c r="Z130" s="164">
        <v>0</v>
      </c>
      <c r="AA130" s="109"/>
      <c r="AB130" s="109"/>
      <c r="AC130" s="109"/>
      <c r="AD130" s="109"/>
      <c r="AE130" s="109"/>
      <c r="AF130" s="109"/>
      <c r="AG130" s="109"/>
      <c r="AH130" s="109"/>
    </row>
    <row r="131" spans="1:34" ht="15.75" thickBot="1" x14ac:dyDescent="0.25">
      <c r="A131" s="2"/>
      <c r="I131" s="80">
        <v>27</v>
      </c>
      <c r="J131" s="231" t="s">
        <v>99</v>
      </c>
      <c r="K131" s="155">
        <v>0</v>
      </c>
      <c r="L131" s="143">
        <v>0</v>
      </c>
      <c r="M131" s="143">
        <v>0</v>
      </c>
      <c r="N131" s="156">
        <v>0</v>
      </c>
      <c r="O131" s="155">
        <v>0</v>
      </c>
      <c r="P131" s="143">
        <v>0</v>
      </c>
      <c r="Q131" s="143">
        <v>0</v>
      </c>
      <c r="R131" s="164">
        <v>0</v>
      </c>
      <c r="S131" s="155">
        <v>0</v>
      </c>
      <c r="T131" s="143">
        <v>0</v>
      </c>
      <c r="U131" s="143">
        <v>0</v>
      </c>
      <c r="V131" s="156">
        <v>0</v>
      </c>
      <c r="W131" s="155">
        <v>0</v>
      </c>
      <c r="X131" s="143">
        <v>0</v>
      </c>
      <c r="Y131" s="143">
        <v>0</v>
      </c>
      <c r="Z131" s="164">
        <v>0</v>
      </c>
      <c r="AA131" s="109"/>
      <c r="AB131" s="109"/>
      <c r="AC131" s="109"/>
      <c r="AD131" s="109"/>
      <c r="AE131" s="109"/>
      <c r="AF131" s="109"/>
      <c r="AG131" s="109"/>
      <c r="AH131" s="109"/>
    </row>
    <row r="132" spans="1:34" ht="15.75" thickBot="1" x14ac:dyDescent="0.25">
      <c r="A132" s="2"/>
      <c r="I132" s="153">
        <v>28</v>
      </c>
      <c r="J132" s="232" t="s">
        <v>99</v>
      </c>
      <c r="K132" s="235">
        <v>0</v>
      </c>
      <c r="L132" s="236">
        <v>0</v>
      </c>
      <c r="M132" s="236">
        <v>0</v>
      </c>
      <c r="N132" s="237">
        <v>0</v>
      </c>
      <c r="O132" s="238">
        <v>0</v>
      </c>
      <c r="P132" s="236">
        <v>0</v>
      </c>
      <c r="Q132" s="236">
        <v>0</v>
      </c>
      <c r="R132" s="239">
        <v>0</v>
      </c>
      <c r="S132" s="240">
        <v>0</v>
      </c>
      <c r="T132" s="236">
        <v>0</v>
      </c>
      <c r="U132" s="236">
        <v>0</v>
      </c>
      <c r="V132" s="237">
        <v>0</v>
      </c>
      <c r="W132" s="238">
        <v>0</v>
      </c>
      <c r="X132" s="236">
        <v>0</v>
      </c>
      <c r="Y132" s="236">
        <v>0</v>
      </c>
      <c r="Z132" s="239">
        <v>0</v>
      </c>
      <c r="AA132" s="109"/>
      <c r="AB132" s="109"/>
      <c r="AC132" s="109"/>
      <c r="AD132" s="109"/>
      <c r="AE132" s="109"/>
      <c r="AF132" s="109"/>
      <c r="AG132" s="109"/>
      <c r="AH132" s="109"/>
    </row>
    <row r="133" spans="1:34" ht="25.5" customHeight="1" x14ac:dyDescent="0.2">
      <c r="A133" s="2"/>
      <c r="I133" s="61"/>
      <c r="J133" s="161"/>
      <c r="K133" s="61"/>
      <c r="L133" s="61"/>
      <c r="M133" s="61"/>
      <c r="N133" s="61"/>
      <c r="O133" s="61"/>
      <c r="P133" s="61"/>
      <c r="Q133" s="61"/>
      <c r="R133" s="61"/>
      <c r="S133" s="111"/>
      <c r="T133" s="111"/>
      <c r="U133" s="111"/>
      <c r="V133" s="111"/>
      <c r="W133" s="111"/>
      <c r="X133" s="111"/>
      <c r="Y133" s="111"/>
      <c r="Z133" s="109"/>
      <c r="AA133" s="109"/>
      <c r="AB133" s="109"/>
      <c r="AC133" s="109"/>
      <c r="AD133" s="109"/>
      <c r="AE133" s="109"/>
      <c r="AF133" s="109"/>
      <c r="AG133" s="109"/>
      <c r="AH133" s="109"/>
    </row>
    <row r="134" spans="1:34" ht="15" x14ac:dyDescent="0.2">
      <c r="A134" s="2"/>
      <c r="I134" s="61"/>
      <c r="K134" s="61"/>
      <c r="L134" s="61"/>
      <c r="M134" s="61"/>
      <c r="N134" s="61"/>
      <c r="O134" s="61"/>
      <c r="P134" s="61"/>
      <c r="Q134" s="61"/>
      <c r="R134" s="61"/>
      <c r="S134" s="111"/>
      <c r="T134" s="111"/>
      <c r="U134" s="111"/>
      <c r="V134" s="111"/>
      <c r="W134" s="111"/>
      <c r="X134" s="111"/>
      <c r="Y134" s="111"/>
      <c r="Z134" s="109"/>
      <c r="AA134" s="109"/>
      <c r="AB134" s="109"/>
      <c r="AC134" s="109"/>
      <c r="AD134" s="109"/>
      <c r="AE134" s="109"/>
      <c r="AF134" s="109"/>
      <c r="AG134" s="109"/>
      <c r="AH134" s="109"/>
    </row>
    <row r="135" spans="1:34" ht="15" x14ac:dyDescent="0.2">
      <c r="A135" s="2"/>
      <c r="I135" s="61"/>
      <c r="K135" s="61"/>
      <c r="L135" s="61"/>
      <c r="M135" s="61"/>
      <c r="N135" s="61"/>
      <c r="O135" s="61"/>
      <c r="P135" s="61"/>
      <c r="Q135" s="61"/>
      <c r="R135" s="61"/>
      <c r="S135" s="111"/>
      <c r="T135" s="111"/>
      <c r="U135" s="111"/>
      <c r="V135" s="111"/>
      <c r="W135" s="111"/>
      <c r="X135" s="111"/>
      <c r="Y135" s="111"/>
      <c r="Z135" s="109"/>
      <c r="AA135" s="109"/>
      <c r="AB135" s="109"/>
      <c r="AC135" s="109"/>
      <c r="AD135" s="109"/>
      <c r="AE135" s="109"/>
      <c r="AF135" s="109"/>
      <c r="AG135" s="109"/>
      <c r="AH135" s="109"/>
    </row>
    <row r="136" spans="1:34" ht="15" x14ac:dyDescent="0.2">
      <c r="A136" s="2"/>
      <c r="I136" s="61"/>
      <c r="K136" s="61"/>
      <c r="L136" s="61"/>
      <c r="M136" s="61"/>
      <c r="N136" s="61"/>
      <c r="O136" s="61"/>
      <c r="P136" s="61"/>
      <c r="Q136" s="61"/>
      <c r="R136" s="61"/>
      <c r="S136" s="111"/>
      <c r="T136" s="111"/>
      <c r="U136" s="111"/>
      <c r="V136" s="111"/>
      <c r="W136" s="111"/>
      <c r="X136" s="111"/>
      <c r="Y136" s="111"/>
      <c r="Z136" s="109"/>
      <c r="AA136" s="109"/>
      <c r="AB136" s="109"/>
      <c r="AC136" s="109"/>
      <c r="AD136" s="109"/>
      <c r="AE136" s="109"/>
      <c r="AF136" s="109"/>
      <c r="AG136" s="109"/>
      <c r="AH136" s="109"/>
    </row>
    <row r="137" spans="1:34" ht="15" x14ac:dyDescent="0.2">
      <c r="A137" s="2"/>
      <c r="I137" s="61"/>
      <c r="K137" s="61"/>
      <c r="L137" s="61"/>
      <c r="M137" s="61"/>
      <c r="N137" s="61"/>
      <c r="O137" s="61"/>
      <c r="P137" s="61"/>
      <c r="Q137" s="61"/>
      <c r="R137" s="61"/>
      <c r="S137" s="111"/>
      <c r="T137" s="111"/>
      <c r="U137" s="111"/>
      <c r="V137" s="111"/>
      <c r="W137" s="111"/>
      <c r="X137" s="111"/>
      <c r="Y137" s="111"/>
      <c r="Z137" s="109"/>
      <c r="AA137" s="109"/>
      <c r="AB137" s="109"/>
      <c r="AC137" s="109"/>
      <c r="AD137" s="109"/>
      <c r="AE137" s="109"/>
      <c r="AF137" s="109"/>
      <c r="AG137" s="109"/>
      <c r="AH137" s="109"/>
    </row>
    <row r="138" spans="1:34" ht="15" x14ac:dyDescent="0.2">
      <c r="A138" s="2"/>
      <c r="I138" s="61"/>
      <c r="K138" s="61"/>
      <c r="L138" s="61"/>
      <c r="M138" s="61"/>
      <c r="N138" s="61"/>
      <c r="O138" s="61"/>
      <c r="P138" s="61"/>
      <c r="Q138" s="61"/>
      <c r="R138" s="61"/>
      <c r="S138" s="111"/>
      <c r="T138" s="111"/>
      <c r="U138" s="111"/>
      <c r="V138" s="111"/>
      <c r="W138" s="111"/>
      <c r="X138" s="111"/>
      <c r="Y138" s="111"/>
      <c r="Z138" s="109"/>
      <c r="AA138" s="109"/>
      <c r="AB138" s="109"/>
      <c r="AC138" s="109"/>
      <c r="AD138" s="109"/>
      <c r="AE138" s="109"/>
      <c r="AF138" s="109"/>
      <c r="AG138" s="109"/>
      <c r="AH138" s="109"/>
    </row>
    <row r="139" spans="1:34" ht="15" customHeight="1" x14ac:dyDescent="0.2">
      <c r="A139" s="2"/>
      <c r="I139" s="61"/>
      <c r="K139" s="61"/>
      <c r="L139" s="61"/>
      <c r="M139" s="61"/>
      <c r="N139" s="61"/>
      <c r="O139" s="61"/>
      <c r="P139" s="61"/>
      <c r="Q139" s="61"/>
      <c r="R139" s="61"/>
      <c r="S139" s="111"/>
      <c r="T139" s="111"/>
      <c r="U139" s="111"/>
      <c r="V139" s="111"/>
      <c r="W139" s="111"/>
      <c r="X139" s="111"/>
      <c r="Y139" s="111"/>
      <c r="Z139" s="109"/>
      <c r="AA139" s="109"/>
      <c r="AB139" s="109"/>
      <c r="AC139" s="109"/>
      <c r="AD139" s="109"/>
      <c r="AE139" s="109"/>
      <c r="AF139" s="109"/>
      <c r="AG139" s="109"/>
      <c r="AH139" s="109"/>
    </row>
    <row r="140" spans="1:34" ht="15" x14ac:dyDescent="0.2">
      <c r="A140" s="2"/>
      <c r="I140" s="61"/>
      <c r="K140" s="61"/>
      <c r="L140" s="61"/>
      <c r="M140" s="61"/>
      <c r="N140" s="61"/>
      <c r="O140" s="61"/>
      <c r="P140" s="61"/>
      <c r="Q140" s="61"/>
      <c r="R140" s="61"/>
      <c r="S140" s="111"/>
      <c r="T140" s="111"/>
      <c r="U140" s="111"/>
      <c r="V140" s="111"/>
      <c r="W140" s="111"/>
      <c r="X140" s="111"/>
      <c r="Y140" s="111"/>
      <c r="Z140" s="109"/>
      <c r="AA140" s="109"/>
      <c r="AB140" s="109"/>
      <c r="AC140" s="109"/>
      <c r="AD140" s="109"/>
      <c r="AE140" s="109"/>
      <c r="AF140" s="109"/>
      <c r="AG140" s="109"/>
      <c r="AH140" s="109"/>
    </row>
    <row r="141" spans="1:34" ht="15" x14ac:dyDescent="0.2">
      <c r="A141" s="2"/>
      <c r="I141" s="61"/>
      <c r="K141" s="61"/>
      <c r="L141" s="61"/>
      <c r="M141" s="61"/>
      <c r="N141" s="61"/>
      <c r="O141" s="61"/>
      <c r="P141" s="61"/>
      <c r="Q141" s="61"/>
      <c r="R141" s="61"/>
      <c r="S141" s="111"/>
      <c r="T141" s="111"/>
      <c r="U141" s="111"/>
      <c r="V141" s="111"/>
      <c r="W141" s="111"/>
      <c r="X141" s="111"/>
      <c r="Y141" s="111"/>
      <c r="Z141" s="109"/>
      <c r="AA141" s="109"/>
      <c r="AB141" s="109"/>
      <c r="AC141" s="109"/>
      <c r="AD141" s="109"/>
      <c r="AE141" s="109"/>
      <c r="AF141" s="109"/>
      <c r="AG141" s="109"/>
      <c r="AH141" s="109"/>
    </row>
    <row r="142" spans="1:34" ht="15" x14ac:dyDescent="0.2">
      <c r="A142" s="2"/>
      <c r="I142" s="61"/>
      <c r="K142" s="61"/>
      <c r="L142" s="61"/>
      <c r="M142" s="61"/>
      <c r="N142" s="61"/>
      <c r="O142" s="61"/>
      <c r="P142" s="61"/>
      <c r="Q142" s="61"/>
      <c r="R142" s="61"/>
      <c r="S142" s="111"/>
      <c r="T142" s="111"/>
      <c r="U142" s="111"/>
      <c r="V142" s="111"/>
      <c r="W142" s="111"/>
      <c r="X142" s="111"/>
      <c r="Y142" s="111"/>
      <c r="Z142" s="109"/>
      <c r="AA142" s="109"/>
      <c r="AB142" s="109"/>
      <c r="AC142" s="109"/>
      <c r="AD142" s="109"/>
      <c r="AE142" s="109"/>
      <c r="AF142" s="109"/>
      <c r="AG142" s="109"/>
      <c r="AH142" s="109"/>
    </row>
    <row r="143" spans="1:34" ht="20.25" customHeight="1" x14ac:dyDescent="0.2">
      <c r="A143" s="2"/>
      <c r="I143" s="61"/>
      <c r="K143" s="61"/>
      <c r="L143" s="61"/>
      <c r="M143" s="61"/>
      <c r="N143" s="61"/>
      <c r="O143" s="61"/>
      <c r="P143" s="61"/>
      <c r="Q143" s="61"/>
      <c r="R143" s="61"/>
      <c r="S143" s="111"/>
      <c r="T143" s="111"/>
      <c r="U143" s="111"/>
      <c r="V143" s="111"/>
      <c r="W143" s="111"/>
      <c r="X143" s="111"/>
      <c r="Y143" s="111"/>
      <c r="Z143" s="109"/>
      <c r="AA143" s="109"/>
      <c r="AB143" s="109"/>
      <c r="AC143" s="109"/>
      <c r="AD143" s="109"/>
      <c r="AE143" s="109"/>
      <c r="AF143" s="109"/>
      <c r="AG143" s="109"/>
      <c r="AH143" s="109"/>
    </row>
    <row r="144" spans="1:34" ht="15" x14ac:dyDescent="0.2">
      <c r="A144" s="2"/>
      <c r="I144" s="61"/>
      <c r="K144" s="61"/>
      <c r="L144" s="61"/>
      <c r="M144" s="61"/>
      <c r="N144" s="61"/>
      <c r="O144" s="61"/>
      <c r="P144" s="61"/>
      <c r="Q144" s="61"/>
      <c r="R144" s="61"/>
      <c r="S144" s="108"/>
      <c r="T144" s="108"/>
      <c r="U144" s="108"/>
      <c r="V144" s="108"/>
      <c r="W144" s="108"/>
      <c r="X144" s="108"/>
      <c r="Y144" s="108"/>
      <c r="Z144" s="109"/>
      <c r="AA144" s="109"/>
      <c r="AB144" s="109"/>
      <c r="AC144" s="109"/>
      <c r="AD144" s="109"/>
      <c r="AE144" s="109"/>
      <c r="AF144" s="109"/>
      <c r="AG144" s="109"/>
      <c r="AH144" s="109"/>
    </row>
    <row r="145" spans="1:34" ht="15" x14ac:dyDescent="0.2">
      <c r="A145" s="2"/>
      <c r="I145" s="81"/>
      <c r="K145" s="109"/>
      <c r="L145" s="109"/>
      <c r="M145" s="109"/>
      <c r="N145" s="109"/>
      <c r="O145" s="109"/>
      <c r="P145" s="109"/>
      <c r="Q145" s="109"/>
      <c r="R145" s="109"/>
      <c r="S145" s="108"/>
      <c r="T145" s="108"/>
      <c r="U145" s="108"/>
      <c r="V145" s="108"/>
      <c r="W145" s="108"/>
      <c r="X145" s="108"/>
      <c r="Y145" s="108"/>
      <c r="Z145" s="109"/>
      <c r="AA145" s="109"/>
      <c r="AB145" s="109"/>
      <c r="AC145" s="109"/>
      <c r="AD145" s="109"/>
      <c r="AE145" s="109"/>
      <c r="AF145" s="109"/>
      <c r="AG145" s="109"/>
      <c r="AH145" s="109"/>
    </row>
    <row r="146" spans="1:34" ht="15" x14ac:dyDescent="0.2">
      <c r="A146" s="2"/>
      <c r="I146" s="112"/>
      <c r="K146" s="113"/>
      <c r="L146" s="113"/>
      <c r="M146" s="113"/>
      <c r="N146" s="113"/>
      <c r="O146" s="113"/>
      <c r="P146" s="113"/>
      <c r="Q146" s="113"/>
      <c r="R146" s="113"/>
      <c r="S146" s="53"/>
      <c r="T146" s="53"/>
      <c r="U146" s="53"/>
      <c r="V146" s="53"/>
      <c r="W146" s="53"/>
      <c r="X146" s="53"/>
      <c r="Y146" s="53"/>
    </row>
    <row r="147" spans="1:34" ht="15" x14ac:dyDescent="0.2">
      <c r="A147" s="2"/>
      <c r="I147" s="81"/>
      <c r="K147" s="109"/>
      <c r="L147" s="109"/>
      <c r="M147" s="109"/>
      <c r="N147" s="109"/>
      <c r="O147" s="109"/>
      <c r="P147" s="109"/>
      <c r="Q147" s="109"/>
      <c r="R147" s="109"/>
      <c r="S147" s="53"/>
      <c r="T147" s="53"/>
      <c r="U147" s="53"/>
      <c r="V147" s="53"/>
      <c r="W147" s="53"/>
      <c r="X147" s="53"/>
      <c r="Y147" s="53"/>
    </row>
    <row r="148" spans="1:34" ht="15" x14ac:dyDescent="0.2">
      <c r="A148" s="2"/>
      <c r="I148" s="81"/>
      <c r="K148" s="109"/>
      <c r="L148" s="109"/>
      <c r="M148" s="109"/>
      <c r="N148" s="109"/>
      <c r="O148" s="109"/>
      <c r="P148" s="109"/>
      <c r="Q148" s="109"/>
      <c r="R148" s="109"/>
      <c r="S148" s="53"/>
      <c r="T148" s="53"/>
      <c r="U148" s="53"/>
      <c r="V148" s="53"/>
      <c r="W148" s="53"/>
      <c r="X148" s="53"/>
      <c r="Y148" s="53"/>
    </row>
    <row r="149" spans="1:34" ht="15" x14ac:dyDescent="0.2">
      <c r="B149" s="3"/>
      <c r="C149" s="3"/>
      <c r="D149" s="3"/>
      <c r="E149" s="3"/>
      <c r="F149" s="3"/>
      <c r="G149" s="3"/>
      <c r="I149" s="81"/>
      <c r="K149" s="109"/>
      <c r="L149" s="109"/>
      <c r="M149" s="109"/>
      <c r="N149" s="109"/>
      <c r="O149" s="109"/>
      <c r="P149" s="109"/>
      <c r="Q149" s="109"/>
      <c r="R149" s="109"/>
      <c r="S149" s="53"/>
      <c r="T149" s="53"/>
      <c r="U149" s="53"/>
      <c r="V149" s="53"/>
      <c r="W149" s="53"/>
      <c r="X149" s="53"/>
      <c r="Y149" s="53"/>
    </row>
    <row r="150" spans="1:34" ht="15.75" thickBot="1" x14ac:dyDescent="0.25">
      <c r="I150" s="81"/>
      <c r="K150" s="109"/>
      <c r="L150" s="109"/>
      <c r="M150" s="109"/>
      <c r="N150" s="109"/>
      <c r="O150" s="109"/>
      <c r="P150" s="109"/>
      <c r="Q150" s="109"/>
      <c r="R150" s="109"/>
      <c r="S150" s="53"/>
      <c r="T150" s="53"/>
      <c r="U150" s="53"/>
      <c r="V150" s="53"/>
      <c r="W150" s="53"/>
      <c r="X150" s="53"/>
      <c r="Y150" s="53"/>
    </row>
    <row r="151" spans="1:34" ht="15.75" thickBot="1" x14ac:dyDescent="0.25">
      <c r="A151" s="30"/>
      <c r="B151" s="31"/>
      <c r="I151" s="81"/>
      <c r="K151" s="109"/>
      <c r="L151" s="109"/>
      <c r="M151" s="109"/>
      <c r="N151" s="109"/>
      <c r="O151" s="109"/>
      <c r="P151" s="109"/>
      <c r="Q151" s="109"/>
      <c r="R151" s="109"/>
      <c r="S151" s="53"/>
      <c r="T151" s="53"/>
      <c r="U151" s="53"/>
      <c r="V151" s="53"/>
      <c r="W151" s="53"/>
      <c r="X151" s="53"/>
      <c r="Y151" s="53"/>
    </row>
    <row r="152" spans="1:34" ht="15.75" thickBot="1" x14ac:dyDescent="0.25">
      <c r="A152" s="30"/>
      <c r="B152" s="31"/>
      <c r="F152" s="20"/>
      <c r="G152" s="20"/>
      <c r="I152" s="81"/>
      <c r="K152" s="109"/>
      <c r="L152" s="109"/>
      <c r="M152" s="109"/>
      <c r="N152" s="109"/>
      <c r="O152" s="109"/>
      <c r="P152" s="109"/>
      <c r="Q152" s="109"/>
      <c r="R152" s="109"/>
      <c r="S152" s="53"/>
      <c r="T152" s="53"/>
      <c r="U152" s="53"/>
      <c r="V152" s="53"/>
      <c r="W152" s="53"/>
      <c r="X152" s="53"/>
      <c r="Y152" s="53"/>
    </row>
    <row r="153" spans="1:34" ht="15.75" thickBot="1" x14ac:dyDescent="0.25">
      <c r="A153" s="30"/>
      <c r="B153" s="31"/>
      <c r="G153" s="20"/>
      <c r="I153" s="81"/>
      <c r="K153" s="109"/>
      <c r="L153" s="109"/>
      <c r="M153" s="109"/>
      <c r="N153" s="109"/>
      <c r="O153" s="109"/>
      <c r="P153" s="109"/>
      <c r="Q153" s="109"/>
      <c r="R153" s="109"/>
      <c r="S153" s="53"/>
      <c r="T153" s="53"/>
      <c r="U153" s="53"/>
      <c r="V153" s="53"/>
      <c r="W153" s="53"/>
      <c r="X153" s="53"/>
      <c r="Y153" s="53"/>
    </row>
    <row r="154" spans="1:34" ht="15.75" thickBot="1" x14ac:dyDescent="0.25">
      <c r="A154" s="30"/>
      <c r="B154" s="31"/>
      <c r="I154" s="81"/>
      <c r="K154" s="109"/>
      <c r="L154" s="109"/>
      <c r="M154" s="109"/>
      <c r="N154" s="109"/>
      <c r="O154" s="109"/>
      <c r="P154" s="109"/>
      <c r="Q154" s="109"/>
      <c r="R154" s="109"/>
      <c r="S154" s="53"/>
      <c r="T154" s="53"/>
      <c r="U154" s="53"/>
      <c r="V154" s="53"/>
      <c r="W154" s="53"/>
      <c r="X154" s="53"/>
      <c r="Y154" s="53"/>
    </row>
    <row r="155" spans="1:34" ht="15.75" thickBot="1" x14ac:dyDescent="0.25">
      <c r="A155" s="30"/>
      <c r="B155" s="31"/>
      <c r="I155" s="81"/>
      <c r="K155" s="109"/>
      <c r="L155" s="109"/>
      <c r="M155" s="109"/>
      <c r="N155" s="109"/>
      <c r="O155" s="109"/>
      <c r="P155" s="109"/>
      <c r="Q155" s="109"/>
      <c r="R155" s="109"/>
      <c r="S155" s="53"/>
      <c r="T155" s="53"/>
      <c r="U155" s="53"/>
      <c r="V155" s="53"/>
      <c r="W155" s="53"/>
      <c r="X155" s="53"/>
      <c r="Y155" s="53"/>
    </row>
    <row r="156" spans="1:34" ht="15.75" thickBot="1" x14ac:dyDescent="0.25">
      <c r="A156" s="30"/>
      <c r="B156" s="31"/>
      <c r="I156" s="81"/>
      <c r="K156" s="109"/>
      <c r="L156" s="109"/>
      <c r="M156" s="109"/>
      <c r="N156" s="109"/>
      <c r="O156" s="109"/>
      <c r="P156" s="109"/>
      <c r="Q156" s="109"/>
      <c r="R156" s="109"/>
      <c r="S156" s="53"/>
      <c r="T156" s="53"/>
      <c r="U156" s="53"/>
      <c r="V156" s="53"/>
      <c r="W156" s="53"/>
      <c r="X156" s="53"/>
      <c r="Y156" s="53"/>
    </row>
    <row r="157" spans="1:34" ht="15.75" thickBot="1" x14ac:dyDescent="0.25">
      <c r="A157" s="30"/>
      <c r="B157" s="31"/>
      <c r="I157" s="81"/>
      <c r="K157" s="109"/>
      <c r="L157" s="109"/>
      <c r="M157" s="109"/>
      <c r="N157" s="109"/>
      <c r="O157" s="109"/>
      <c r="P157" s="109"/>
      <c r="Q157" s="109"/>
      <c r="R157" s="109"/>
      <c r="S157" s="53"/>
      <c r="T157" s="53"/>
      <c r="U157" s="53"/>
      <c r="V157" s="53"/>
      <c r="W157" s="53"/>
      <c r="X157" s="53"/>
      <c r="Y157" s="53"/>
    </row>
    <row r="158" spans="1:34" ht="15.75" thickBot="1" x14ac:dyDescent="0.25">
      <c r="A158" s="30"/>
      <c r="B158" s="31"/>
      <c r="I158" s="81"/>
      <c r="K158" s="109"/>
      <c r="L158" s="109"/>
      <c r="M158" s="109"/>
      <c r="N158" s="109"/>
      <c r="O158" s="109"/>
      <c r="P158" s="109"/>
      <c r="Q158" s="109"/>
      <c r="R158" s="109"/>
      <c r="S158" s="53"/>
      <c r="T158" s="53"/>
      <c r="U158" s="53"/>
      <c r="V158" s="53"/>
      <c r="W158" s="53"/>
      <c r="X158" s="53"/>
      <c r="Y158" s="53"/>
    </row>
    <row r="159" spans="1:34" ht="15.75" thickBot="1" x14ac:dyDescent="0.25">
      <c r="A159" s="30"/>
      <c r="B159" s="31"/>
      <c r="F159" s="20"/>
      <c r="G159" s="20"/>
      <c r="I159" s="81"/>
      <c r="K159" s="109"/>
      <c r="L159" s="109"/>
      <c r="M159" s="109"/>
      <c r="N159" s="109"/>
      <c r="O159" s="109"/>
      <c r="P159" s="109"/>
      <c r="Q159" s="109"/>
      <c r="R159" s="109"/>
      <c r="S159" s="53"/>
      <c r="T159" s="53"/>
      <c r="U159" s="53"/>
      <c r="V159" s="53"/>
      <c r="W159" s="53"/>
      <c r="X159" s="53"/>
      <c r="Y159" s="53"/>
    </row>
    <row r="160" spans="1:34" ht="15.75" thickBot="1" x14ac:dyDescent="0.25">
      <c r="A160" s="30"/>
      <c r="B160" s="31"/>
      <c r="G160" s="20"/>
      <c r="I160" s="81"/>
      <c r="K160" s="109"/>
      <c r="L160" s="109"/>
      <c r="M160" s="109"/>
      <c r="N160" s="109"/>
      <c r="O160" s="109"/>
      <c r="P160" s="109"/>
      <c r="Q160" s="109"/>
      <c r="R160" s="109"/>
      <c r="S160" s="53"/>
      <c r="T160" s="53"/>
      <c r="U160" s="53"/>
      <c r="V160" s="53"/>
      <c r="W160" s="53"/>
      <c r="X160" s="53"/>
      <c r="Y160" s="53"/>
    </row>
    <row r="161" spans="1:25" ht="15.75" thickBot="1" x14ac:dyDescent="0.25">
      <c r="A161" s="30"/>
      <c r="B161" s="31"/>
      <c r="I161" s="81"/>
      <c r="K161" s="109"/>
      <c r="L161" s="109"/>
      <c r="M161" s="109"/>
      <c r="N161" s="109"/>
      <c r="O161" s="109"/>
      <c r="P161" s="109"/>
      <c r="Q161" s="109"/>
      <c r="R161" s="109"/>
      <c r="S161" s="53"/>
      <c r="T161" s="53"/>
      <c r="U161" s="53"/>
      <c r="V161" s="53"/>
      <c r="W161" s="53"/>
      <c r="X161" s="53"/>
      <c r="Y161" s="53"/>
    </row>
    <row r="162" spans="1:25" ht="15.75" thickBot="1" x14ac:dyDescent="0.25">
      <c r="A162" s="30"/>
      <c r="B162" s="31"/>
      <c r="I162" s="81"/>
      <c r="K162" s="109"/>
      <c r="L162" s="109"/>
      <c r="M162" s="109"/>
      <c r="N162" s="109"/>
      <c r="O162" s="109"/>
      <c r="P162" s="109"/>
      <c r="Q162" s="109"/>
      <c r="R162" s="109"/>
      <c r="S162" s="53"/>
      <c r="T162" s="53"/>
      <c r="U162" s="53"/>
      <c r="V162" s="53"/>
      <c r="W162" s="53"/>
      <c r="X162" s="53"/>
      <c r="Y162" s="53"/>
    </row>
    <row r="163" spans="1:25" ht="15.75" thickBot="1" x14ac:dyDescent="0.25">
      <c r="A163" s="30"/>
      <c r="B163" s="31"/>
      <c r="I163" s="81"/>
      <c r="K163" s="109"/>
      <c r="L163" s="109"/>
      <c r="M163" s="109"/>
      <c r="N163" s="109"/>
      <c r="O163" s="109"/>
      <c r="P163" s="109"/>
      <c r="Q163" s="109"/>
      <c r="R163" s="109"/>
      <c r="S163" s="53"/>
      <c r="T163" s="53"/>
      <c r="U163" s="53"/>
      <c r="V163" s="53"/>
      <c r="W163" s="53"/>
      <c r="X163" s="53"/>
      <c r="Y163" s="53"/>
    </row>
    <row r="164" spans="1:25" ht="15.75" thickBot="1" x14ac:dyDescent="0.25">
      <c r="A164" s="30"/>
      <c r="B164" s="31"/>
      <c r="I164" s="81"/>
      <c r="K164" s="109"/>
      <c r="L164" s="109"/>
      <c r="M164" s="109"/>
      <c r="N164" s="109"/>
      <c r="O164" s="109"/>
      <c r="P164" s="109"/>
      <c r="Q164" s="109"/>
      <c r="R164" s="109"/>
      <c r="S164" s="53"/>
      <c r="T164" s="53"/>
      <c r="U164" s="53"/>
      <c r="V164" s="53"/>
      <c r="W164" s="53"/>
      <c r="X164" s="53"/>
      <c r="Y164" s="53"/>
    </row>
    <row r="165" spans="1:25" ht="15.75" thickBot="1" x14ac:dyDescent="0.25">
      <c r="A165" s="30"/>
      <c r="B165" s="31"/>
      <c r="I165" s="81"/>
      <c r="K165" s="109"/>
      <c r="L165" s="109"/>
      <c r="M165" s="109"/>
      <c r="N165" s="109"/>
      <c r="O165" s="109"/>
      <c r="P165" s="109"/>
      <c r="Q165" s="109"/>
      <c r="R165" s="109"/>
      <c r="S165" s="53"/>
      <c r="T165" s="53"/>
      <c r="U165" s="53"/>
      <c r="V165" s="53"/>
      <c r="W165" s="53"/>
      <c r="X165" s="53"/>
      <c r="Y165" s="53"/>
    </row>
    <row r="166" spans="1:25" ht="15.75" thickBot="1" x14ac:dyDescent="0.25">
      <c r="A166" s="30"/>
      <c r="B166" s="31"/>
      <c r="I166" s="81"/>
      <c r="K166" s="109"/>
      <c r="L166" s="109"/>
      <c r="M166" s="109"/>
      <c r="N166" s="109"/>
      <c r="O166" s="109"/>
      <c r="P166" s="109"/>
      <c r="Q166" s="109"/>
      <c r="R166" s="109"/>
      <c r="S166" s="53"/>
      <c r="T166" s="53"/>
      <c r="U166" s="53"/>
      <c r="V166" s="53"/>
      <c r="W166" s="53"/>
      <c r="X166" s="53"/>
      <c r="Y166" s="53"/>
    </row>
    <row r="167" spans="1:25" ht="13.5" customHeight="1" thickBot="1" x14ac:dyDescent="0.25">
      <c r="A167" s="30"/>
      <c r="B167" s="31"/>
      <c r="I167" s="81"/>
      <c r="K167" s="109"/>
      <c r="L167" s="109"/>
      <c r="M167" s="109"/>
      <c r="N167" s="109"/>
      <c r="O167" s="109"/>
      <c r="P167" s="109"/>
      <c r="Q167" s="109"/>
      <c r="R167" s="109"/>
      <c r="S167" s="53"/>
      <c r="T167" s="53"/>
      <c r="U167" s="53"/>
      <c r="V167" s="53"/>
      <c r="W167" s="53"/>
      <c r="X167" s="53"/>
      <c r="Y167" s="53"/>
    </row>
    <row r="168" spans="1:25" ht="13.5" customHeight="1" thickBot="1" x14ac:dyDescent="0.25">
      <c r="A168" s="30"/>
      <c r="B168" s="31"/>
      <c r="I168" s="81"/>
      <c r="S168" s="53"/>
      <c r="T168" s="53"/>
      <c r="U168" s="53"/>
      <c r="V168" s="53"/>
      <c r="W168" s="53"/>
      <c r="X168" s="53"/>
      <c r="Y168" s="53"/>
    </row>
    <row r="169" spans="1:25" ht="13.5" customHeight="1" thickBot="1" x14ac:dyDescent="0.25">
      <c r="A169" s="30"/>
      <c r="B169" s="31"/>
      <c r="I169" s="81"/>
      <c r="S169" s="53"/>
      <c r="T169" s="53"/>
      <c r="U169" s="53"/>
      <c r="V169" s="53"/>
      <c r="W169" s="53"/>
      <c r="X169" s="53"/>
      <c r="Y169" s="53"/>
    </row>
    <row r="170" spans="1:25" ht="13.5" customHeight="1" thickBot="1" x14ac:dyDescent="0.25">
      <c r="A170" s="30"/>
      <c r="B170" s="31"/>
      <c r="I170" s="81"/>
      <c r="S170" s="53"/>
      <c r="T170" s="53"/>
      <c r="U170" s="53"/>
      <c r="V170" s="53"/>
      <c r="W170" s="53"/>
      <c r="X170" s="53"/>
      <c r="Y170" s="53"/>
    </row>
    <row r="171" spans="1:25" ht="13.5" customHeight="1" thickBot="1" x14ac:dyDescent="0.25">
      <c r="A171" s="30"/>
      <c r="B171" s="31"/>
      <c r="I171" s="81"/>
      <c r="S171" s="53"/>
      <c r="T171" s="53"/>
      <c r="U171" s="53"/>
      <c r="V171" s="53"/>
      <c r="W171" s="53"/>
      <c r="X171" s="53"/>
      <c r="Y171" s="53"/>
    </row>
    <row r="172" spans="1:25" ht="15.75" thickBot="1" x14ac:dyDescent="0.25">
      <c r="A172" s="30"/>
      <c r="B172" s="31"/>
      <c r="I172" s="81"/>
      <c r="S172" s="53"/>
      <c r="T172" s="53"/>
      <c r="U172" s="53"/>
      <c r="V172" s="53"/>
      <c r="W172" s="53"/>
      <c r="X172" s="53"/>
      <c r="Y172" s="53"/>
    </row>
    <row r="173" spans="1:25" ht="12.75" customHeight="1" thickBot="1" x14ac:dyDescent="0.25">
      <c r="A173" s="30"/>
      <c r="B173" s="31"/>
      <c r="I173" s="81"/>
      <c r="S173" s="53"/>
      <c r="T173" s="53"/>
      <c r="U173" s="53"/>
      <c r="V173" s="53"/>
      <c r="W173" s="53"/>
      <c r="X173" s="53"/>
      <c r="Y173" s="53"/>
    </row>
    <row r="174" spans="1:25" ht="13.5" customHeight="1" thickBot="1" x14ac:dyDescent="0.25">
      <c r="A174" s="30"/>
      <c r="B174" s="31"/>
      <c r="I174" s="81"/>
      <c r="S174" s="53"/>
      <c r="T174" s="53"/>
      <c r="U174" s="53"/>
      <c r="V174" s="53"/>
      <c r="W174" s="53"/>
      <c r="X174" s="53"/>
      <c r="Y174" s="53"/>
    </row>
    <row r="175" spans="1:25" ht="13.5" thickBot="1" x14ac:dyDescent="0.25">
      <c r="A175" s="30"/>
      <c r="B175" s="31"/>
      <c r="I175" s="81"/>
    </row>
    <row r="176" spans="1:25" ht="28.5" customHeight="1" thickBot="1" x14ac:dyDescent="0.25">
      <c r="A176" s="30"/>
      <c r="B176" s="31"/>
      <c r="I176" s="81"/>
      <c r="S176" s="20"/>
      <c r="T176" s="20"/>
      <c r="U176" s="20"/>
      <c r="V176" s="20"/>
      <c r="W176" s="20"/>
      <c r="X176" s="20"/>
      <c r="Y176" s="20"/>
    </row>
    <row r="177" spans="1:20" ht="15.75" thickBot="1" x14ac:dyDescent="0.25">
      <c r="A177" s="30"/>
      <c r="B177" s="31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20"/>
      <c r="T177" s="20"/>
    </row>
    <row r="178" spans="1:20" ht="13.5" customHeight="1" thickBot="1" x14ac:dyDescent="0.25">
      <c r="A178" s="30"/>
      <c r="B178" s="31"/>
      <c r="I178" s="2"/>
      <c r="J178" s="2"/>
      <c r="S178" s="4"/>
      <c r="T178" s="4"/>
    </row>
    <row r="179" spans="1:20" ht="13.5" customHeight="1" thickBot="1" x14ac:dyDescent="0.25">
      <c r="A179" s="30"/>
      <c r="B179" s="31"/>
      <c r="I179" s="20"/>
      <c r="J179" s="20"/>
      <c r="K179" s="20"/>
      <c r="L179" s="20"/>
      <c r="M179" s="20"/>
      <c r="N179" s="20"/>
      <c r="O179" s="20"/>
      <c r="P179" s="20"/>
      <c r="Q179" s="20"/>
      <c r="R179" s="20"/>
    </row>
    <row r="180" spans="1:20" ht="13.5" customHeight="1" thickBot="1" x14ac:dyDescent="0.25">
      <c r="A180" s="30"/>
      <c r="B180" s="31"/>
      <c r="I180" s="2"/>
      <c r="J180" s="2"/>
    </row>
    <row r="181" spans="1:20" ht="13.5" thickBot="1" x14ac:dyDescent="0.25">
      <c r="A181" s="30"/>
      <c r="B181" s="31"/>
      <c r="I181" s="2"/>
      <c r="J181" s="2"/>
    </row>
    <row r="182" spans="1:20" ht="13.5" thickBot="1" x14ac:dyDescent="0.25">
      <c r="A182" s="30"/>
      <c r="B182" s="31"/>
      <c r="I182" s="2"/>
      <c r="J182" s="2"/>
    </row>
    <row r="183" spans="1:20" ht="13.5" thickBot="1" x14ac:dyDescent="0.25">
      <c r="A183" s="30"/>
      <c r="B183" s="31"/>
      <c r="I183" s="2"/>
      <c r="J183" s="2"/>
    </row>
    <row r="184" spans="1:20" ht="13.5" thickBot="1" x14ac:dyDescent="0.25">
      <c r="A184" s="30"/>
      <c r="B184" s="31"/>
      <c r="I184" s="2"/>
      <c r="J184" s="2"/>
    </row>
    <row r="185" spans="1:20" ht="13.5" thickBot="1" x14ac:dyDescent="0.25">
      <c r="A185" s="30"/>
      <c r="B185" s="31"/>
      <c r="I185" s="2"/>
      <c r="J185" s="2"/>
    </row>
    <row r="186" spans="1:20" ht="15.75" thickBot="1" x14ac:dyDescent="0.25">
      <c r="A186" s="30"/>
      <c r="B186" s="31"/>
      <c r="I186" s="53"/>
      <c r="J186" s="53"/>
      <c r="K186" s="53"/>
      <c r="L186" s="53"/>
      <c r="M186" s="53"/>
      <c r="N186" s="53"/>
      <c r="O186" s="53"/>
      <c r="P186" s="53"/>
      <c r="Q186" s="53"/>
      <c r="R186" s="53"/>
    </row>
    <row r="187" spans="1:20" ht="13.5" thickBot="1" x14ac:dyDescent="0.25">
      <c r="A187" s="30"/>
      <c r="B187" s="31"/>
      <c r="I187" s="2"/>
      <c r="J187" s="2"/>
    </row>
    <row r="188" spans="1:20" ht="13.5" thickBot="1" x14ac:dyDescent="0.25">
      <c r="A188" s="30"/>
      <c r="B188" s="31"/>
      <c r="I188" s="20"/>
      <c r="J188" s="20"/>
      <c r="K188" s="20"/>
      <c r="L188" s="20"/>
      <c r="M188" s="20"/>
      <c r="N188" s="20"/>
      <c r="O188" s="20"/>
      <c r="P188" s="20"/>
      <c r="Q188" s="20"/>
      <c r="R188" s="20"/>
    </row>
    <row r="189" spans="1:20" ht="13.5" thickBot="1" x14ac:dyDescent="0.25">
      <c r="A189" s="30"/>
      <c r="B189" s="31"/>
      <c r="I189" s="2"/>
      <c r="J189" s="2"/>
    </row>
    <row r="190" spans="1:20" ht="13.5" thickBot="1" x14ac:dyDescent="0.25">
      <c r="A190" s="30"/>
      <c r="B190" s="31"/>
      <c r="I190" s="2"/>
      <c r="J190" s="2"/>
    </row>
    <row r="191" spans="1:20" ht="13.5" thickBot="1" x14ac:dyDescent="0.25">
      <c r="A191" s="30"/>
      <c r="B191" s="31"/>
      <c r="I191" s="2"/>
      <c r="J191" s="2"/>
    </row>
    <row r="192" spans="1:20" ht="13.5" thickBot="1" x14ac:dyDescent="0.25">
      <c r="A192" s="30"/>
      <c r="B192" s="31"/>
      <c r="I192" s="2"/>
      <c r="J192" s="2"/>
    </row>
    <row r="193" spans="1:18" ht="13.5" thickBot="1" x14ac:dyDescent="0.25">
      <c r="A193" s="30"/>
      <c r="B193" s="31"/>
      <c r="I193" s="2"/>
      <c r="J193" s="2"/>
    </row>
    <row r="194" spans="1:18" ht="13.5" thickBot="1" x14ac:dyDescent="0.25">
      <c r="A194" s="30"/>
      <c r="B194" s="31"/>
      <c r="I194" s="2"/>
      <c r="J194" s="2"/>
    </row>
    <row r="195" spans="1:18" ht="15.75" thickBot="1" x14ac:dyDescent="0.25">
      <c r="A195" s="30"/>
      <c r="B195" s="31"/>
      <c r="I195" s="53"/>
      <c r="J195" s="53"/>
      <c r="K195" s="53"/>
      <c r="L195" s="53"/>
      <c r="M195" s="53"/>
      <c r="N195" s="53"/>
      <c r="O195" s="53"/>
      <c r="P195" s="53"/>
      <c r="Q195" s="53"/>
      <c r="R195" s="53"/>
    </row>
    <row r="196" spans="1:18" ht="13.5" thickBot="1" x14ac:dyDescent="0.25">
      <c r="A196" s="30"/>
      <c r="B196" s="31"/>
      <c r="I196" s="81"/>
    </row>
    <row r="197" spans="1:18" ht="12.75" customHeight="1" thickBot="1" x14ac:dyDescent="0.25">
      <c r="A197" s="30"/>
      <c r="B197" s="31"/>
      <c r="I197" s="81"/>
    </row>
    <row r="198" spans="1:18" ht="12.75" customHeight="1" thickBot="1" x14ac:dyDescent="0.25">
      <c r="A198" s="30"/>
      <c r="B198" s="31"/>
      <c r="I198" s="83"/>
      <c r="J198" s="83"/>
      <c r="K198" s="301"/>
      <c r="L198" s="301"/>
      <c r="M198" s="301"/>
      <c r="N198" s="301"/>
      <c r="O198" s="301"/>
      <c r="P198" s="301"/>
      <c r="Q198" s="301"/>
      <c r="R198" s="301"/>
    </row>
    <row r="199" spans="1:18" ht="12.75" customHeight="1" thickBot="1" x14ac:dyDescent="0.25">
      <c r="A199" s="30"/>
      <c r="B199" s="31"/>
      <c r="I199" s="285"/>
      <c r="J199" s="285"/>
      <c r="K199" s="285"/>
      <c r="L199" s="285"/>
      <c r="M199" s="285"/>
      <c r="N199" s="285"/>
      <c r="O199" s="285"/>
      <c r="P199" s="285"/>
      <c r="Q199" s="285"/>
      <c r="R199" s="285"/>
    </row>
    <row r="200" spans="1:18" ht="12.75" customHeight="1" thickBot="1" x14ac:dyDescent="0.25">
      <c r="A200" s="30"/>
      <c r="B200" s="31"/>
      <c r="I200" s="299"/>
      <c r="J200" s="299"/>
      <c r="K200" s="299"/>
      <c r="L200" s="299"/>
      <c r="M200" s="298"/>
      <c r="N200" s="298"/>
      <c r="O200" s="298"/>
      <c r="P200" s="298"/>
      <c r="Q200" s="300"/>
      <c r="R200" s="300"/>
    </row>
    <row r="201" spans="1:18" ht="12.75" customHeight="1" thickBot="1" x14ac:dyDescent="0.25">
      <c r="A201" s="30"/>
      <c r="B201" s="31"/>
      <c r="I201" s="81"/>
      <c r="K201" s="298"/>
      <c r="L201" s="298"/>
      <c r="M201" s="298"/>
    </row>
    <row r="202" spans="1:18" ht="12.75" customHeight="1" thickBot="1" x14ac:dyDescent="0.25">
      <c r="A202" s="30"/>
      <c r="B202" s="31"/>
      <c r="I202" s="81"/>
      <c r="K202" s="298"/>
      <c r="L202" s="298"/>
      <c r="M202" s="298"/>
    </row>
    <row r="203" spans="1:18" ht="12.75" customHeight="1" thickBot="1" x14ac:dyDescent="0.25">
      <c r="A203" s="30"/>
      <c r="B203" s="31"/>
      <c r="I203" s="77"/>
      <c r="J203" s="78"/>
    </row>
    <row r="204" spans="1:18" ht="12.75" customHeight="1" thickBot="1" x14ac:dyDescent="0.25">
      <c r="A204" s="30"/>
      <c r="B204" s="31"/>
      <c r="I204" s="81"/>
    </row>
    <row r="205" spans="1:18" ht="12.75" customHeight="1" thickBot="1" x14ac:dyDescent="0.25">
      <c r="A205" s="30"/>
      <c r="B205" s="31"/>
      <c r="I205" s="81"/>
    </row>
    <row r="206" spans="1:18" ht="12.75" customHeight="1" thickBot="1" x14ac:dyDescent="0.25">
      <c r="A206" s="30"/>
      <c r="B206" s="31"/>
      <c r="I206" s="81"/>
    </row>
    <row r="207" spans="1:18" ht="12.75" customHeight="1" thickBot="1" x14ac:dyDescent="0.25">
      <c r="A207" s="30"/>
      <c r="B207" s="31"/>
      <c r="I207" s="81"/>
    </row>
    <row r="208" spans="1:18" ht="12.75" customHeight="1" thickBot="1" x14ac:dyDescent="0.25">
      <c r="A208" s="30"/>
      <c r="B208" s="31"/>
      <c r="I208" s="81"/>
    </row>
    <row r="209" spans="9:9" ht="12.75" customHeight="1" x14ac:dyDescent="0.2">
      <c r="I209" s="81"/>
    </row>
    <row r="210" spans="9:9" ht="12.75" customHeight="1" x14ac:dyDescent="0.2">
      <c r="I210" s="81"/>
    </row>
    <row r="211" spans="9:9" ht="12.75" customHeight="1" x14ac:dyDescent="0.2">
      <c r="I211" s="81"/>
    </row>
    <row r="212" spans="9:9" ht="12.75" customHeight="1" x14ac:dyDescent="0.2">
      <c r="I212" s="81"/>
    </row>
    <row r="213" spans="9:9" ht="12.75" customHeight="1" x14ac:dyDescent="0.2">
      <c r="I213" s="81"/>
    </row>
    <row r="214" spans="9:9" ht="12.75" customHeight="1" x14ac:dyDescent="0.2">
      <c r="I214" s="81"/>
    </row>
    <row r="215" spans="9:9" ht="12.75" customHeight="1" x14ac:dyDescent="0.2">
      <c r="I215" s="81"/>
    </row>
    <row r="216" spans="9:9" ht="12.75" customHeight="1" x14ac:dyDescent="0.2">
      <c r="I216" s="81"/>
    </row>
    <row r="217" spans="9:9" ht="12.75" customHeight="1" x14ac:dyDescent="0.2">
      <c r="I217" s="81"/>
    </row>
    <row r="218" spans="9:9" ht="12.75" customHeight="1" x14ac:dyDescent="0.2">
      <c r="I218" s="81"/>
    </row>
    <row r="219" spans="9:9" ht="12.75" customHeight="1" x14ac:dyDescent="0.2">
      <c r="I219" s="81"/>
    </row>
    <row r="220" spans="9:9" ht="12.75" customHeight="1" x14ac:dyDescent="0.2">
      <c r="I220" s="81"/>
    </row>
    <row r="221" spans="9:9" ht="12.75" customHeight="1" x14ac:dyDescent="0.2">
      <c r="I221" s="81"/>
    </row>
    <row r="222" spans="9:9" ht="12.75" customHeight="1" x14ac:dyDescent="0.2">
      <c r="I222" s="81"/>
    </row>
    <row r="223" spans="9:9" ht="12.75" customHeight="1" x14ac:dyDescent="0.2">
      <c r="I223" s="81"/>
    </row>
    <row r="224" spans="9:9" ht="12.75" customHeight="1" x14ac:dyDescent="0.2">
      <c r="I224" s="81"/>
    </row>
    <row r="225" spans="9:10" ht="12.75" customHeight="1" x14ac:dyDescent="0.2">
      <c r="I225" s="81"/>
    </row>
    <row r="226" spans="9:10" ht="12.75" customHeight="1" x14ac:dyDescent="0.2">
      <c r="I226" s="77"/>
      <c r="J226" s="62"/>
    </row>
    <row r="227" spans="9:10" ht="12.75" customHeight="1" x14ac:dyDescent="0.2">
      <c r="I227" s="81"/>
    </row>
    <row r="228" spans="9:10" ht="12.75" customHeight="1" x14ac:dyDescent="0.2">
      <c r="I228" s="81"/>
    </row>
    <row r="229" spans="9:10" ht="12.75" customHeight="1" x14ac:dyDescent="0.2">
      <c r="I229" s="81"/>
    </row>
    <row r="230" spans="9:10" ht="12.75" customHeight="1" x14ac:dyDescent="0.2">
      <c r="I230" s="81"/>
      <c r="J230" s="62"/>
    </row>
    <row r="231" spans="9:10" ht="12.75" customHeight="1" x14ac:dyDescent="0.2">
      <c r="I231" s="81"/>
      <c r="J231" s="62"/>
    </row>
    <row r="236" spans="9:10" ht="12.75" customHeight="1" x14ac:dyDescent="0.2">
      <c r="I236" s="81"/>
    </row>
    <row r="1048284" spans="9:9" ht="12.75" customHeight="1" x14ac:dyDescent="0.2">
      <c r="I1048284" s="81"/>
    </row>
    <row r="1048300" spans="9:11" ht="12.75" customHeight="1" x14ac:dyDescent="0.2">
      <c r="I1048300" s="81"/>
    </row>
    <row r="1048302" spans="9:11" ht="12.75" customHeight="1" x14ac:dyDescent="0.2">
      <c r="I1048302" s="81"/>
      <c r="K1048302" s="63" t="s">
        <v>102</v>
      </c>
    </row>
    <row r="1048303" spans="9:11" ht="12.75" customHeight="1" x14ac:dyDescent="0.2">
      <c r="I1048303" s="81"/>
    </row>
  </sheetData>
  <mergeCells count="89">
    <mergeCell ref="G2:H2"/>
    <mergeCell ref="U16:V16"/>
    <mergeCell ref="S41:Z62"/>
    <mergeCell ref="K202:M202"/>
    <mergeCell ref="I200:J200"/>
    <mergeCell ref="K200:L200"/>
    <mergeCell ref="M200:N200"/>
    <mergeCell ref="O200:P200"/>
    <mergeCell ref="Q200:R200"/>
    <mergeCell ref="K201:M201"/>
    <mergeCell ref="K198:R198"/>
    <mergeCell ref="K39:N39"/>
    <mergeCell ref="O39:R39"/>
    <mergeCell ref="S39:V39"/>
    <mergeCell ref="W39:Z39"/>
    <mergeCell ref="K37:R37"/>
    <mergeCell ref="AL44:AL46"/>
    <mergeCell ref="AL52:AL54"/>
    <mergeCell ref="AL59:AL61"/>
    <mergeCell ref="I199:J199"/>
    <mergeCell ref="K199:L199"/>
    <mergeCell ref="M199:N199"/>
    <mergeCell ref="O199:P199"/>
    <mergeCell ref="Q199:R199"/>
    <mergeCell ref="AA39:AD39"/>
    <mergeCell ref="AE39:AH39"/>
    <mergeCell ref="K38:R38"/>
    <mergeCell ref="S38:Z38"/>
    <mergeCell ref="AA38:AH38"/>
    <mergeCell ref="AG35:AH35"/>
    <mergeCell ref="AG36:AH36"/>
    <mergeCell ref="U36:V36"/>
    <mergeCell ref="W36:X36"/>
    <mergeCell ref="Y36:Z36"/>
    <mergeCell ref="AA36:AB36"/>
    <mergeCell ref="AC36:AD36"/>
    <mergeCell ref="S37:Z37"/>
    <mergeCell ref="AA37:AH37"/>
    <mergeCell ref="Q36:R36"/>
    <mergeCell ref="S36:T36"/>
    <mergeCell ref="AE36:AF36"/>
    <mergeCell ref="K36:L36"/>
    <mergeCell ref="M36:N36"/>
    <mergeCell ref="O36:P36"/>
    <mergeCell ref="K32:O32"/>
    <mergeCell ref="S32:W32"/>
    <mergeCell ref="AA32:AE32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A29:AB29"/>
    <mergeCell ref="AC29:AD29"/>
    <mergeCell ref="AE29:AF29"/>
    <mergeCell ref="AG30:AH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B40:G40"/>
    <mergeCell ref="N25:O25"/>
    <mergeCell ref="V25:W25"/>
    <mergeCell ref="AD25:AE25"/>
    <mergeCell ref="K27:R28"/>
    <mergeCell ref="S27:Z28"/>
    <mergeCell ref="AA27:AH28"/>
    <mergeCell ref="AG29:AH29"/>
    <mergeCell ref="K29:L29"/>
    <mergeCell ref="M29:N29"/>
    <mergeCell ref="O29:P29"/>
    <mergeCell ref="Q29:R29"/>
    <mergeCell ref="S29:T29"/>
    <mergeCell ref="U29:V29"/>
    <mergeCell ref="W29:X29"/>
    <mergeCell ref="Y29:Z29"/>
  </mergeCells>
  <dataValidations count="3">
    <dataValidation type="list" allowBlank="1" showInputMessage="1" showErrorMessage="1" sqref="D42:D43 C43" xr:uid="{2816CB59-6C4A-4EE0-8897-3C94C30F3957}">
      <formula1>($I$41:$I$62)+255</formula1>
    </dataValidation>
    <dataValidation type="whole" allowBlank="1" showInputMessage="1" showErrorMessage="1" sqref="K30:AH30 K41:R62 K104:Z132 AA41:AH62" xr:uid="{883EB73A-7D49-4F13-81A8-72431A405050}">
      <formula1>0</formula1>
      <formula2>15</formula2>
    </dataValidation>
    <dataValidation type="decimal" allowBlank="1" showInputMessage="1" showErrorMessage="1" sqref="K64:AH102" xr:uid="{1A44046F-96FC-40A2-BC2E-7394F026EDCF}">
      <formula1>0</formula1>
      <formula2>15</formula2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03B1-4C4A-41FC-B2A0-C1337F72F2DB}">
  <dimension ref="A4:N125"/>
  <sheetViews>
    <sheetView topLeftCell="A41" workbookViewId="0">
      <selection activeCell="O17" sqref="O17"/>
    </sheetView>
  </sheetViews>
  <sheetFormatPr defaultRowHeight="12.75" x14ac:dyDescent="0.2"/>
  <cols>
    <col min="1" max="1" width="27.42578125" customWidth="1"/>
  </cols>
  <sheetData>
    <row r="4" spans="1:9" x14ac:dyDescent="0.2">
      <c r="A4" s="16"/>
      <c r="B4" s="85"/>
      <c r="C4" s="2" t="s">
        <v>103</v>
      </c>
      <c r="D4" s="6"/>
      <c r="E4" s="6"/>
      <c r="F4" s="6"/>
      <c r="G4" s="39"/>
      <c r="H4" s="6"/>
      <c r="I4" s="3"/>
    </row>
    <row r="5" spans="1:9" x14ac:dyDescent="0.2">
      <c r="A5" s="16"/>
      <c r="B5" s="45"/>
      <c r="C5" s="2" t="s">
        <v>104</v>
      </c>
      <c r="D5" s="6"/>
      <c r="E5" s="6"/>
      <c r="F5" s="6"/>
      <c r="G5" s="39"/>
      <c r="H5" s="6"/>
      <c r="I5" s="3"/>
    </row>
    <row r="6" spans="1:9" x14ac:dyDescent="0.2">
      <c r="A6" s="16"/>
      <c r="B6" s="46"/>
      <c r="C6" s="2" t="s">
        <v>105</v>
      </c>
      <c r="D6" s="6"/>
      <c r="E6" s="6"/>
      <c r="F6" s="6"/>
      <c r="G6" s="39"/>
      <c r="H6" s="6"/>
      <c r="I6" s="3"/>
    </row>
    <row r="7" spans="1:9" x14ac:dyDescent="0.2">
      <c r="A7" s="16"/>
      <c r="B7" s="2"/>
      <c r="C7" s="2"/>
      <c r="D7" s="6"/>
      <c r="E7" s="6"/>
      <c r="F7" s="6"/>
      <c r="G7" s="39"/>
      <c r="H7" s="6"/>
      <c r="I7" s="3"/>
    </row>
    <row r="8" spans="1:9" x14ac:dyDescent="0.2">
      <c r="A8" s="16"/>
      <c r="B8" s="2"/>
      <c r="C8" s="2"/>
      <c r="D8" s="6"/>
      <c r="E8" s="6"/>
      <c r="F8" s="6"/>
      <c r="G8" s="39"/>
      <c r="H8" s="6"/>
      <c r="I8" s="3"/>
    </row>
    <row r="9" spans="1:9" ht="15" x14ac:dyDescent="0.2">
      <c r="A9" s="5" t="s">
        <v>106</v>
      </c>
      <c r="B9" s="2"/>
      <c r="C9" s="2"/>
      <c r="D9" s="6"/>
      <c r="E9" s="6"/>
      <c r="F9" s="6"/>
      <c r="G9" s="39"/>
      <c r="H9" s="6"/>
      <c r="I9" s="3"/>
    </row>
    <row r="10" spans="1:9" x14ac:dyDescent="0.2">
      <c r="A10" s="6" t="s">
        <v>107</v>
      </c>
      <c r="B10" s="2"/>
      <c r="C10" s="2"/>
      <c r="D10" s="6"/>
      <c r="E10" s="6"/>
      <c r="F10" s="6"/>
      <c r="G10" s="39"/>
      <c r="H10" s="6"/>
      <c r="I10" s="3"/>
    </row>
    <row r="11" spans="1:9" x14ac:dyDescent="0.2">
      <c r="A11" s="4"/>
      <c r="B11" s="2"/>
      <c r="C11" s="2"/>
      <c r="D11" s="6"/>
      <c r="E11" s="6"/>
      <c r="F11" s="6"/>
      <c r="G11" s="39"/>
      <c r="H11" s="6"/>
      <c r="I11" s="3"/>
    </row>
    <row r="12" spans="1:9" x14ac:dyDescent="0.2">
      <c r="A12" s="1"/>
      <c r="B12" s="2"/>
      <c r="C12" s="2"/>
      <c r="D12" s="6"/>
      <c r="E12" s="6"/>
      <c r="F12" s="6"/>
      <c r="G12" s="39"/>
      <c r="H12" s="6"/>
      <c r="I12" s="3"/>
    </row>
    <row r="13" spans="1:9" x14ac:dyDescent="0.2">
      <c r="A13" s="1"/>
      <c r="B13" s="2"/>
      <c r="C13" s="2"/>
      <c r="D13" s="6"/>
      <c r="E13" s="6"/>
      <c r="F13" s="6"/>
      <c r="G13" s="39"/>
      <c r="H13" s="6"/>
      <c r="I13" s="3"/>
    </row>
    <row r="14" spans="1:9" x14ac:dyDescent="0.2">
      <c r="A14" s="1"/>
      <c r="B14" s="2"/>
      <c r="C14" s="2"/>
      <c r="D14" s="6"/>
      <c r="E14" s="6"/>
      <c r="F14" s="6"/>
      <c r="G14" s="39"/>
      <c r="H14" s="6"/>
      <c r="I14" s="3"/>
    </row>
    <row r="15" spans="1:9" x14ac:dyDescent="0.2">
      <c r="A15" s="1"/>
      <c r="B15" s="2"/>
      <c r="C15" s="2"/>
      <c r="D15" s="6"/>
      <c r="E15" s="6"/>
      <c r="F15" s="6"/>
      <c r="G15" s="39"/>
      <c r="H15" s="6"/>
      <c r="I15" s="3"/>
    </row>
    <row r="16" spans="1:9" ht="13.5" thickBot="1" x14ac:dyDescent="0.25">
      <c r="A16" s="1"/>
      <c r="B16" s="2"/>
      <c r="C16" s="2"/>
      <c r="D16" s="2"/>
      <c r="E16" s="2"/>
      <c r="F16" s="6"/>
      <c r="G16" s="39"/>
      <c r="H16" s="6"/>
      <c r="I16" s="3"/>
    </row>
    <row r="17" spans="1:9" ht="26.25" thickBot="1" x14ac:dyDescent="0.25">
      <c r="A17" s="1"/>
      <c r="B17" s="116" t="s">
        <v>108</v>
      </c>
      <c r="C17" s="34" t="s">
        <v>109</v>
      </c>
      <c r="D17" s="337" t="s">
        <v>110</v>
      </c>
      <c r="E17" s="338"/>
      <c r="F17" s="102" t="s">
        <v>111</v>
      </c>
      <c r="G17" s="103"/>
      <c r="H17" s="104" t="s">
        <v>112</v>
      </c>
      <c r="I17" s="105"/>
    </row>
    <row r="18" spans="1:9" x14ac:dyDescent="0.2">
      <c r="A18" s="334" t="s">
        <v>113</v>
      </c>
      <c r="B18" s="86">
        <v>36</v>
      </c>
      <c r="C18" s="7">
        <v>5180</v>
      </c>
      <c r="D18" s="306">
        <v>38</v>
      </c>
      <c r="E18" s="308">
        <v>5190</v>
      </c>
      <c r="F18" s="344">
        <v>42</v>
      </c>
      <c r="G18" s="391">
        <v>5210</v>
      </c>
      <c r="H18" s="388">
        <v>50</v>
      </c>
      <c r="I18" s="391">
        <v>5250</v>
      </c>
    </row>
    <row r="19" spans="1:9" x14ac:dyDescent="0.2">
      <c r="A19" s="335"/>
      <c r="B19" s="87">
        <v>40</v>
      </c>
      <c r="C19" s="8">
        <v>5200</v>
      </c>
      <c r="D19" s="306"/>
      <c r="E19" s="308"/>
      <c r="F19" s="306"/>
      <c r="G19" s="308"/>
      <c r="H19" s="389"/>
      <c r="I19" s="308"/>
    </row>
    <row r="20" spans="1:9" x14ac:dyDescent="0.2">
      <c r="A20" s="335"/>
      <c r="B20" s="8">
        <v>44</v>
      </c>
      <c r="C20" s="8">
        <v>5220</v>
      </c>
      <c r="D20" s="392">
        <v>46</v>
      </c>
      <c r="E20" s="308">
        <v>5230</v>
      </c>
      <c r="F20" s="306"/>
      <c r="G20" s="308"/>
      <c r="H20" s="389"/>
      <c r="I20" s="308"/>
    </row>
    <row r="21" spans="1:9" ht="13.5" thickBot="1" x14ac:dyDescent="0.25">
      <c r="A21" s="336"/>
      <c r="B21" s="47">
        <v>48</v>
      </c>
      <c r="C21" s="9">
        <v>5240</v>
      </c>
      <c r="D21" s="393"/>
      <c r="E21" s="309"/>
      <c r="F21" s="307"/>
      <c r="G21" s="309"/>
      <c r="H21" s="389"/>
      <c r="I21" s="308"/>
    </row>
    <row r="22" spans="1:9" x14ac:dyDescent="0.2">
      <c r="A22" s="334" t="s">
        <v>114</v>
      </c>
      <c r="B22" s="48">
        <v>52</v>
      </c>
      <c r="C22" s="7">
        <v>5260</v>
      </c>
      <c r="D22" s="394">
        <v>54</v>
      </c>
      <c r="E22" s="391">
        <v>5270</v>
      </c>
      <c r="F22" s="344">
        <v>58</v>
      </c>
      <c r="G22" s="391">
        <v>5290</v>
      </c>
      <c r="H22" s="389"/>
      <c r="I22" s="308"/>
    </row>
    <row r="23" spans="1:9" x14ac:dyDescent="0.2">
      <c r="A23" s="335"/>
      <c r="B23" s="8">
        <v>56</v>
      </c>
      <c r="C23" s="8">
        <v>5280</v>
      </c>
      <c r="D23" s="392"/>
      <c r="E23" s="308"/>
      <c r="F23" s="306"/>
      <c r="G23" s="308"/>
      <c r="H23" s="389"/>
      <c r="I23" s="308"/>
    </row>
    <row r="24" spans="1:9" x14ac:dyDescent="0.2">
      <c r="A24" s="335"/>
      <c r="B24" s="87">
        <v>60</v>
      </c>
      <c r="C24" s="8">
        <v>5300</v>
      </c>
      <c r="D24" s="306">
        <v>62</v>
      </c>
      <c r="E24" s="308">
        <v>5310</v>
      </c>
      <c r="F24" s="306"/>
      <c r="G24" s="308"/>
      <c r="H24" s="389"/>
      <c r="I24" s="308"/>
    </row>
    <row r="25" spans="1:9" ht="13.5" thickBot="1" x14ac:dyDescent="0.25">
      <c r="A25" s="336"/>
      <c r="B25" s="88">
        <v>64</v>
      </c>
      <c r="C25" s="9">
        <v>5320</v>
      </c>
      <c r="D25" s="307"/>
      <c r="E25" s="309"/>
      <c r="F25" s="307"/>
      <c r="G25" s="309"/>
      <c r="H25" s="390"/>
      <c r="I25" s="309"/>
    </row>
    <row r="26" spans="1:9" ht="15" thickBot="1" x14ac:dyDescent="0.25">
      <c r="A26" s="126"/>
      <c r="B26" s="8"/>
      <c r="C26" s="8"/>
      <c r="D26" s="6"/>
      <c r="E26" s="6"/>
      <c r="F26" s="6"/>
      <c r="G26" s="6"/>
      <c r="H26" s="2"/>
      <c r="I26" s="2"/>
    </row>
    <row r="27" spans="1:9" x14ac:dyDescent="0.2">
      <c r="A27" s="334" t="s">
        <v>115</v>
      </c>
      <c r="B27" s="89">
        <v>100</v>
      </c>
      <c r="C27" s="10">
        <v>5500</v>
      </c>
      <c r="D27" s="344">
        <v>102</v>
      </c>
      <c r="E27" s="391">
        <v>5510</v>
      </c>
      <c r="F27" s="344">
        <v>106</v>
      </c>
      <c r="G27" s="391">
        <v>5530</v>
      </c>
      <c r="H27" s="344">
        <v>114</v>
      </c>
      <c r="I27" s="387">
        <v>5570</v>
      </c>
    </row>
    <row r="28" spans="1:9" x14ac:dyDescent="0.2">
      <c r="A28" s="335"/>
      <c r="B28" s="90">
        <v>104</v>
      </c>
      <c r="C28" s="12">
        <v>5520</v>
      </c>
      <c r="D28" s="306"/>
      <c r="E28" s="308"/>
      <c r="F28" s="306"/>
      <c r="G28" s="308"/>
      <c r="H28" s="306"/>
      <c r="I28" s="341"/>
    </row>
    <row r="29" spans="1:9" x14ac:dyDescent="0.2">
      <c r="A29" s="335"/>
      <c r="B29" s="12">
        <v>108</v>
      </c>
      <c r="C29" s="12">
        <v>5540</v>
      </c>
      <c r="D29" s="327">
        <v>110</v>
      </c>
      <c r="E29" s="308">
        <v>5550</v>
      </c>
      <c r="F29" s="306"/>
      <c r="G29" s="308"/>
      <c r="H29" s="306"/>
      <c r="I29" s="341"/>
    </row>
    <row r="30" spans="1:9" x14ac:dyDescent="0.2">
      <c r="A30" s="335"/>
      <c r="B30" s="12">
        <v>112</v>
      </c>
      <c r="C30" s="12">
        <v>5560</v>
      </c>
      <c r="D30" s="327"/>
      <c r="E30" s="308"/>
      <c r="F30" s="306"/>
      <c r="G30" s="308"/>
      <c r="H30" s="306"/>
      <c r="I30" s="341"/>
    </row>
    <row r="31" spans="1:9" x14ac:dyDescent="0.2">
      <c r="A31" s="335"/>
      <c r="B31" s="12">
        <v>116</v>
      </c>
      <c r="C31" s="12">
        <v>5580</v>
      </c>
      <c r="D31" s="327">
        <v>118</v>
      </c>
      <c r="E31" s="308">
        <v>5590</v>
      </c>
      <c r="F31" s="327">
        <v>122</v>
      </c>
      <c r="G31" s="308">
        <v>5610</v>
      </c>
      <c r="H31" s="306"/>
      <c r="I31" s="341"/>
    </row>
    <row r="32" spans="1:9" x14ac:dyDescent="0.2">
      <c r="A32" s="335"/>
      <c r="B32" s="60">
        <v>120</v>
      </c>
      <c r="C32" s="60">
        <v>5600</v>
      </c>
      <c r="D32" s="327"/>
      <c r="E32" s="308"/>
      <c r="F32" s="327"/>
      <c r="G32" s="308"/>
      <c r="H32" s="306"/>
      <c r="I32" s="341"/>
    </row>
    <row r="33" spans="1:9" x14ac:dyDescent="0.2">
      <c r="A33" s="335"/>
      <c r="B33" s="60">
        <v>124</v>
      </c>
      <c r="C33" s="60">
        <v>5620</v>
      </c>
      <c r="D33" s="327">
        <v>126</v>
      </c>
      <c r="E33" s="308">
        <v>5630</v>
      </c>
      <c r="F33" s="327"/>
      <c r="G33" s="308"/>
      <c r="H33" s="306"/>
      <c r="I33" s="341"/>
    </row>
    <row r="34" spans="1:9" ht="13.5" thickBot="1" x14ac:dyDescent="0.25">
      <c r="A34" s="335"/>
      <c r="B34" s="60">
        <v>128</v>
      </c>
      <c r="C34" s="60">
        <v>5640</v>
      </c>
      <c r="D34" s="327"/>
      <c r="E34" s="308"/>
      <c r="F34" s="327"/>
      <c r="G34" s="308"/>
      <c r="H34" s="307"/>
      <c r="I34" s="342"/>
    </row>
    <row r="35" spans="1:9" x14ac:dyDescent="0.2">
      <c r="A35" s="335"/>
      <c r="B35" s="12">
        <v>132</v>
      </c>
      <c r="C35" s="12">
        <v>5660</v>
      </c>
      <c r="D35" s="327">
        <v>134</v>
      </c>
      <c r="E35" s="308">
        <v>5670</v>
      </c>
      <c r="F35" s="392">
        <v>138</v>
      </c>
      <c r="G35" s="308">
        <v>5690</v>
      </c>
      <c r="H35" s="106" t="s">
        <v>116</v>
      </c>
      <c r="I35" s="100"/>
    </row>
    <row r="36" spans="1:9" x14ac:dyDescent="0.2">
      <c r="A36" s="335"/>
      <c r="B36" s="90">
        <v>136</v>
      </c>
      <c r="C36" s="12">
        <v>5680</v>
      </c>
      <c r="D36" s="327"/>
      <c r="E36" s="308"/>
      <c r="F36" s="392"/>
      <c r="G36" s="308"/>
      <c r="H36" s="107"/>
      <c r="I36" s="101"/>
    </row>
    <row r="37" spans="1:9" ht="13.5" thickBot="1" x14ac:dyDescent="0.25">
      <c r="A37" s="335"/>
      <c r="B37" s="90">
        <v>140</v>
      </c>
      <c r="C37" s="12">
        <v>5700</v>
      </c>
      <c r="D37" s="392">
        <v>142</v>
      </c>
      <c r="E37" s="308">
        <v>5710</v>
      </c>
      <c r="F37" s="392"/>
      <c r="G37" s="308"/>
      <c r="H37" s="107"/>
      <c r="I37" s="101"/>
    </row>
    <row r="38" spans="1:9" ht="13.5" thickBot="1" x14ac:dyDescent="0.25">
      <c r="A38" s="335"/>
      <c r="B38" s="89">
        <v>144</v>
      </c>
      <c r="C38" s="10">
        <v>5720</v>
      </c>
      <c r="D38" s="392"/>
      <c r="E38" s="308"/>
      <c r="F38" s="392"/>
      <c r="G38" s="308"/>
      <c r="H38" s="107"/>
      <c r="I38" s="101"/>
    </row>
    <row r="39" spans="1:9" x14ac:dyDescent="0.2">
      <c r="A39" s="364" t="s">
        <v>117</v>
      </c>
      <c r="B39" s="117">
        <v>149</v>
      </c>
      <c r="C39" s="68">
        <v>5745</v>
      </c>
      <c r="D39" s="367">
        <v>151</v>
      </c>
      <c r="E39" s="368">
        <v>5755</v>
      </c>
      <c r="F39" s="369">
        <v>155</v>
      </c>
      <c r="G39" s="372">
        <v>5775</v>
      </c>
      <c r="H39" s="367">
        <v>163</v>
      </c>
      <c r="I39" s="348">
        <v>5815</v>
      </c>
    </row>
    <row r="40" spans="1:9" x14ac:dyDescent="0.2">
      <c r="A40" s="365"/>
      <c r="B40" s="90">
        <v>153</v>
      </c>
      <c r="C40" s="12">
        <v>5765</v>
      </c>
      <c r="D40" s="306"/>
      <c r="E40" s="308"/>
      <c r="F40" s="370"/>
      <c r="G40" s="373"/>
      <c r="H40" s="306"/>
      <c r="I40" s="349"/>
    </row>
    <row r="41" spans="1:9" x14ac:dyDescent="0.2">
      <c r="A41" s="365"/>
      <c r="B41" s="12">
        <v>157</v>
      </c>
      <c r="C41" s="12">
        <v>5785</v>
      </c>
      <c r="D41" s="327">
        <v>159</v>
      </c>
      <c r="E41" s="308">
        <v>5795</v>
      </c>
      <c r="F41" s="370"/>
      <c r="G41" s="373"/>
      <c r="H41" s="306"/>
      <c r="I41" s="349"/>
    </row>
    <row r="42" spans="1:9" x14ac:dyDescent="0.2">
      <c r="A42" s="365"/>
      <c r="B42" s="90">
        <v>161</v>
      </c>
      <c r="C42" s="12">
        <v>5805</v>
      </c>
      <c r="D42" s="376"/>
      <c r="E42" s="377"/>
      <c r="F42" s="371"/>
      <c r="G42" s="374"/>
      <c r="H42" s="306"/>
      <c r="I42" s="349"/>
    </row>
    <row r="43" spans="1:9" ht="13.5" thickBot="1" x14ac:dyDescent="0.25">
      <c r="A43" s="366"/>
      <c r="B43" s="91">
        <v>165</v>
      </c>
      <c r="C43" s="14">
        <v>5825</v>
      </c>
      <c r="D43" s="327">
        <v>167</v>
      </c>
      <c r="E43" s="308">
        <v>5835</v>
      </c>
      <c r="F43" s="378">
        <v>171</v>
      </c>
      <c r="G43" s="381">
        <v>5855</v>
      </c>
      <c r="H43" s="306"/>
      <c r="I43" s="349"/>
    </row>
    <row r="44" spans="1:9" x14ac:dyDescent="0.2">
      <c r="A44" s="383" t="s">
        <v>118</v>
      </c>
      <c r="B44" s="10">
        <v>169</v>
      </c>
      <c r="C44" s="10">
        <v>5845</v>
      </c>
      <c r="D44" s="327"/>
      <c r="E44" s="308"/>
      <c r="F44" s="379"/>
      <c r="G44" s="373"/>
      <c r="H44" s="306"/>
      <c r="I44" s="349"/>
    </row>
    <row r="45" spans="1:9" x14ac:dyDescent="0.2">
      <c r="A45" s="384"/>
      <c r="B45" s="44">
        <v>173</v>
      </c>
      <c r="C45" s="12">
        <v>5865</v>
      </c>
      <c r="D45" s="306">
        <v>175</v>
      </c>
      <c r="E45" s="341">
        <v>5875</v>
      </c>
      <c r="F45" s="379"/>
      <c r="G45" s="373"/>
      <c r="H45" s="306"/>
      <c r="I45" s="349"/>
    </row>
    <row r="46" spans="1:9" ht="13.5" thickBot="1" x14ac:dyDescent="0.25">
      <c r="A46" s="385"/>
      <c r="B46" s="118">
        <v>177</v>
      </c>
      <c r="C46" s="72">
        <v>5885</v>
      </c>
      <c r="D46" s="375"/>
      <c r="E46" s="386"/>
      <c r="F46" s="380"/>
      <c r="G46" s="382"/>
      <c r="H46" s="375"/>
      <c r="I46" s="350"/>
    </row>
    <row r="48" spans="1:9" ht="13.5" thickBot="1" x14ac:dyDescent="0.25"/>
    <row r="49" spans="1:14" ht="33.75" customHeight="1" thickBot="1" x14ac:dyDescent="0.25">
      <c r="A49" s="334" t="s">
        <v>119</v>
      </c>
      <c r="B49" s="119">
        <v>2</v>
      </c>
      <c r="C49" s="17">
        <v>5935</v>
      </c>
      <c r="D49" s="3"/>
      <c r="E49" s="3"/>
      <c r="F49" s="3"/>
      <c r="G49" s="3"/>
      <c r="H49" s="3"/>
      <c r="I49" s="16"/>
      <c r="J49" s="16"/>
      <c r="K49" s="360" t="s">
        <v>120</v>
      </c>
      <c r="L49" s="361"/>
      <c r="M49" s="362"/>
      <c r="N49" s="363"/>
    </row>
    <row r="50" spans="1:14" ht="13.5" thickBot="1" x14ac:dyDescent="0.25">
      <c r="A50" s="335"/>
      <c r="B50" s="120">
        <v>1</v>
      </c>
      <c r="C50" s="43">
        <f>5950+5*B50</f>
        <v>5955</v>
      </c>
      <c r="D50" s="337" t="s">
        <v>110</v>
      </c>
      <c r="E50" s="338"/>
      <c r="F50" s="337" t="s">
        <v>111</v>
      </c>
      <c r="G50" s="338"/>
      <c r="H50" s="38"/>
      <c r="I50" s="339" t="s">
        <v>112</v>
      </c>
      <c r="J50" s="340"/>
      <c r="K50" s="339" t="s">
        <v>121</v>
      </c>
      <c r="L50" s="355"/>
      <c r="M50" s="356" t="s">
        <v>122</v>
      </c>
      <c r="N50" s="357"/>
    </row>
    <row r="51" spans="1:14" x14ac:dyDescent="0.2">
      <c r="A51" s="335"/>
      <c r="B51" s="18">
        <v>5</v>
      </c>
      <c r="C51" s="19">
        <f>5950+5*B51</f>
        <v>5975</v>
      </c>
      <c r="D51" s="344">
        <f>(B50+B51)/2</f>
        <v>3</v>
      </c>
      <c r="E51" s="358">
        <f>5950+5*D51</f>
        <v>5965</v>
      </c>
      <c r="F51" s="359">
        <f>(D51+D53)/2</f>
        <v>7</v>
      </c>
      <c r="G51" s="333">
        <f>5950+5*F51</f>
        <v>5985</v>
      </c>
      <c r="H51" s="16"/>
      <c r="I51" s="359">
        <f>(F51+F55)/2</f>
        <v>15</v>
      </c>
      <c r="J51" s="333">
        <f>5950+5*I51</f>
        <v>6025</v>
      </c>
      <c r="K51" s="344">
        <v>31</v>
      </c>
      <c r="L51" s="345">
        <f>5950+5*K51</f>
        <v>6105</v>
      </c>
      <c r="M51" s="351" t="s">
        <v>116</v>
      </c>
      <c r="N51" s="352"/>
    </row>
    <row r="52" spans="1:14" x14ac:dyDescent="0.2">
      <c r="A52" s="335"/>
      <c r="B52" s="18">
        <v>9</v>
      </c>
      <c r="C52" s="19">
        <f t="shared" ref="C52:C108" si="0">5950+5*B52</f>
        <v>5995</v>
      </c>
      <c r="D52" s="306"/>
      <c r="E52" s="305"/>
      <c r="F52" s="313"/>
      <c r="G52" s="325"/>
      <c r="H52" s="16"/>
      <c r="I52" s="313"/>
      <c r="J52" s="325"/>
      <c r="K52" s="306"/>
      <c r="L52" s="346"/>
      <c r="M52" s="351"/>
      <c r="N52" s="352"/>
    </row>
    <row r="53" spans="1:14" x14ac:dyDescent="0.2">
      <c r="A53" s="335"/>
      <c r="B53" s="18">
        <v>13</v>
      </c>
      <c r="C53" s="19">
        <f t="shared" si="0"/>
        <v>6015</v>
      </c>
      <c r="D53" s="327">
        <f>(B52+B53)/2</f>
        <v>11</v>
      </c>
      <c r="E53" s="305">
        <f>5950+5*D53</f>
        <v>6005</v>
      </c>
      <c r="F53" s="313"/>
      <c r="G53" s="325"/>
      <c r="H53" s="16"/>
      <c r="I53" s="313"/>
      <c r="J53" s="325"/>
      <c r="K53" s="306"/>
      <c r="L53" s="346"/>
      <c r="M53" s="351"/>
      <c r="N53" s="352"/>
    </row>
    <row r="54" spans="1:14" x14ac:dyDescent="0.2">
      <c r="A54" s="335"/>
      <c r="B54" s="18">
        <v>17</v>
      </c>
      <c r="C54" s="19">
        <f t="shared" si="0"/>
        <v>6035</v>
      </c>
      <c r="D54" s="327"/>
      <c r="E54" s="305"/>
      <c r="F54" s="313"/>
      <c r="G54" s="325"/>
      <c r="H54" s="16"/>
      <c r="I54" s="313"/>
      <c r="J54" s="325"/>
      <c r="K54" s="306"/>
      <c r="L54" s="346"/>
      <c r="M54" s="351"/>
      <c r="N54" s="352"/>
    </row>
    <row r="55" spans="1:14" x14ac:dyDescent="0.2">
      <c r="A55" s="335"/>
      <c r="B55" s="18">
        <v>21</v>
      </c>
      <c r="C55" s="19">
        <f t="shared" si="0"/>
        <v>6055</v>
      </c>
      <c r="D55" s="327">
        <f>(B54+B55)/2</f>
        <v>19</v>
      </c>
      <c r="E55" s="305">
        <f t="shared" ref="E55" si="1">5950+5*D55</f>
        <v>6045</v>
      </c>
      <c r="F55" s="343">
        <f>(D55+D57)/2</f>
        <v>23</v>
      </c>
      <c r="G55" s="315">
        <f>5950+5*F55</f>
        <v>6065</v>
      </c>
      <c r="H55" s="16"/>
      <c r="I55" s="313"/>
      <c r="J55" s="325"/>
      <c r="K55" s="306"/>
      <c r="L55" s="346"/>
      <c r="M55" s="351"/>
      <c r="N55" s="352"/>
    </row>
    <row r="56" spans="1:14" x14ac:dyDescent="0.2">
      <c r="A56" s="335"/>
      <c r="B56" s="18">
        <v>25</v>
      </c>
      <c r="C56" s="19">
        <f t="shared" si="0"/>
        <v>6075</v>
      </c>
      <c r="D56" s="327"/>
      <c r="E56" s="305"/>
      <c r="F56" s="343"/>
      <c r="G56" s="315"/>
      <c r="H56" s="16"/>
      <c r="I56" s="313"/>
      <c r="J56" s="325"/>
      <c r="K56" s="306"/>
      <c r="L56" s="346"/>
      <c r="M56" s="351"/>
      <c r="N56" s="352"/>
    </row>
    <row r="57" spans="1:14" x14ac:dyDescent="0.2">
      <c r="A57" s="335"/>
      <c r="B57" s="18">
        <v>29</v>
      </c>
      <c r="C57" s="19">
        <f t="shared" si="0"/>
        <v>6095</v>
      </c>
      <c r="D57" s="327">
        <f>(B56+B57)/2</f>
        <v>27</v>
      </c>
      <c r="E57" s="305">
        <f t="shared" ref="E57" si="2">5950+5*D57</f>
        <v>6085</v>
      </c>
      <c r="F57" s="343"/>
      <c r="G57" s="315"/>
      <c r="H57" s="16"/>
      <c r="I57" s="313"/>
      <c r="J57" s="325"/>
      <c r="K57" s="306"/>
      <c r="L57" s="346"/>
      <c r="M57" s="351"/>
      <c r="N57" s="352"/>
    </row>
    <row r="58" spans="1:14" ht="13.5" thickBot="1" x14ac:dyDescent="0.25">
      <c r="A58" s="335"/>
      <c r="B58" s="18">
        <v>33</v>
      </c>
      <c r="C58" s="19">
        <f t="shared" si="0"/>
        <v>6115</v>
      </c>
      <c r="D58" s="327"/>
      <c r="E58" s="305"/>
      <c r="F58" s="343"/>
      <c r="G58" s="315"/>
      <c r="H58" s="16"/>
      <c r="I58" s="313"/>
      <c r="J58" s="325"/>
      <c r="K58" s="306"/>
      <c r="L58" s="346"/>
      <c r="M58" s="353"/>
      <c r="N58" s="354"/>
    </row>
    <row r="59" spans="1:14" x14ac:dyDescent="0.2">
      <c r="A59" s="335"/>
      <c r="B59" s="18">
        <v>37</v>
      </c>
      <c r="C59" s="19">
        <f t="shared" si="0"/>
        <v>6135</v>
      </c>
      <c r="D59" s="327">
        <f>(B58+B59)/2</f>
        <v>35</v>
      </c>
      <c r="E59" s="305">
        <f t="shared" ref="E59" si="3">5950+5*D59</f>
        <v>6125</v>
      </c>
      <c r="F59" s="343">
        <f>(D59+D61)/2</f>
        <v>39</v>
      </c>
      <c r="G59" s="315">
        <f t="shared" ref="G59" si="4">5950+5*F59</f>
        <v>6145</v>
      </c>
      <c r="H59" s="16"/>
      <c r="I59" s="343">
        <f t="shared" ref="I59" si="5">(F59+F63)/2</f>
        <v>47</v>
      </c>
      <c r="J59" s="315">
        <f>5950+5*I59</f>
        <v>6185</v>
      </c>
      <c r="K59" s="306"/>
      <c r="L59" s="341"/>
      <c r="M59" s="306">
        <v>63</v>
      </c>
      <c r="N59" s="341">
        <v>6265</v>
      </c>
    </row>
    <row r="60" spans="1:14" x14ac:dyDescent="0.2">
      <c r="A60" s="335"/>
      <c r="B60" s="18">
        <v>41</v>
      </c>
      <c r="C60" s="19">
        <f t="shared" si="0"/>
        <v>6155</v>
      </c>
      <c r="D60" s="327"/>
      <c r="E60" s="305"/>
      <c r="F60" s="343"/>
      <c r="G60" s="315"/>
      <c r="H60" s="16"/>
      <c r="I60" s="343"/>
      <c r="J60" s="315"/>
      <c r="K60" s="306"/>
      <c r="L60" s="341"/>
      <c r="M60" s="306"/>
      <c r="N60" s="341"/>
    </row>
    <row r="61" spans="1:14" x14ac:dyDescent="0.2">
      <c r="A61" s="335"/>
      <c r="B61" s="18">
        <v>45</v>
      </c>
      <c r="C61" s="19">
        <f t="shared" si="0"/>
        <v>6175</v>
      </c>
      <c r="D61" s="327">
        <f>(B60+B61)/2</f>
        <v>43</v>
      </c>
      <c r="E61" s="305">
        <f t="shared" ref="E61" si="6">5950+5*D61</f>
        <v>6165</v>
      </c>
      <c r="F61" s="343"/>
      <c r="G61" s="315"/>
      <c r="H61" s="16"/>
      <c r="I61" s="343"/>
      <c r="J61" s="315"/>
      <c r="K61" s="306"/>
      <c r="L61" s="341"/>
      <c r="M61" s="306"/>
      <c r="N61" s="341"/>
    </row>
    <row r="62" spans="1:14" x14ac:dyDescent="0.2">
      <c r="A62" s="335"/>
      <c r="B62" s="18">
        <v>49</v>
      </c>
      <c r="C62" s="19">
        <f t="shared" si="0"/>
        <v>6195</v>
      </c>
      <c r="D62" s="327"/>
      <c r="E62" s="305"/>
      <c r="F62" s="343"/>
      <c r="G62" s="315"/>
      <c r="H62" s="16"/>
      <c r="I62" s="343"/>
      <c r="J62" s="315"/>
      <c r="K62" s="306"/>
      <c r="L62" s="341"/>
      <c r="M62" s="306"/>
      <c r="N62" s="341"/>
    </row>
    <row r="63" spans="1:14" x14ac:dyDescent="0.2">
      <c r="A63" s="335"/>
      <c r="B63" s="18">
        <v>53</v>
      </c>
      <c r="C63" s="19">
        <f t="shared" si="0"/>
        <v>6215</v>
      </c>
      <c r="D63" s="327">
        <f>(B62+B63)/2</f>
        <v>51</v>
      </c>
      <c r="E63" s="308">
        <f t="shared" ref="E63" si="7">5950+5*D63</f>
        <v>6205</v>
      </c>
      <c r="F63" s="343">
        <f>(D63+D65)/2</f>
        <v>55</v>
      </c>
      <c r="G63" s="315">
        <f t="shared" ref="G63" si="8">5950+5*F63</f>
        <v>6225</v>
      </c>
      <c r="H63" s="16"/>
      <c r="I63" s="343"/>
      <c r="J63" s="315"/>
      <c r="K63" s="306"/>
      <c r="L63" s="341"/>
      <c r="M63" s="306"/>
      <c r="N63" s="341"/>
    </row>
    <row r="64" spans="1:14" x14ac:dyDescent="0.2">
      <c r="A64" s="335"/>
      <c r="B64" s="18">
        <v>57</v>
      </c>
      <c r="C64" s="19">
        <f t="shared" si="0"/>
        <v>6235</v>
      </c>
      <c r="D64" s="327"/>
      <c r="E64" s="308"/>
      <c r="F64" s="343"/>
      <c r="G64" s="315"/>
      <c r="H64" s="16"/>
      <c r="I64" s="343"/>
      <c r="J64" s="315"/>
      <c r="K64" s="306"/>
      <c r="L64" s="341"/>
      <c r="M64" s="306"/>
      <c r="N64" s="341"/>
    </row>
    <row r="65" spans="1:14" x14ac:dyDescent="0.2">
      <c r="A65" s="335"/>
      <c r="B65" s="18">
        <v>61</v>
      </c>
      <c r="C65" s="19">
        <f t="shared" si="0"/>
        <v>6255</v>
      </c>
      <c r="D65" s="327">
        <f>(B64+B65)/2</f>
        <v>59</v>
      </c>
      <c r="E65" s="308">
        <f t="shared" ref="E65" si="9">5950+5*D65</f>
        <v>6245</v>
      </c>
      <c r="F65" s="343"/>
      <c r="G65" s="315"/>
      <c r="H65" s="16"/>
      <c r="I65" s="343"/>
      <c r="J65" s="315"/>
      <c r="K65" s="306"/>
      <c r="L65" s="341"/>
      <c r="M65" s="306"/>
      <c r="N65" s="341"/>
    </row>
    <row r="66" spans="1:14" ht="13.5" thickBot="1" x14ac:dyDescent="0.25">
      <c r="A66" s="335"/>
      <c r="B66" s="18">
        <v>65</v>
      </c>
      <c r="C66" s="19">
        <f t="shared" si="0"/>
        <v>6275</v>
      </c>
      <c r="D66" s="327"/>
      <c r="E66" s="308"/>
      <c r="F66" s="343"/>
      <c r="G66" s="315"/>
      <c r="H66" s="16"/>
      <c r="I66" s="343"/>
      <c r="J66" s="315"/>
      <c r="K66" s="307"/>
      <c r="L66" s="342"/>
      <c r="M66" s="306"/>
      <c r="N66" s="341"/>
    </row>
    <row r="67" spans="1:14" x14ac:dyDescent="0.2">
      <c r="A67" s="335"/>
      <c r="B67" s="18">
        <v>69</v>
      </c>
      <c r="C67" s="19">
        <f t="shared" si="0"/>
        <v>6295</v>
      </c>
      <c r="D67" s="327">
        <f>(B66+B67)/2</f>
        <v>67</v>
      </c>
      <c r="E67" s="308">
        <f t="shared" ref="E67" si="10">5950+5*D67</f>
        <v>6285</v>
      </c>
      <c r="F67" s="322">
        <f>(D67+D69)/2</f>
        <v>71</v>
      </c>
      <c r="G67" s="325">
        <f t="shared" ref="G67" si="11">5950+5*F67</f>
        <v>6305</v>
      </c>
      <c r="H67" s="1"/>
      <c r="I67" s="347">
        <f t="shared" ref="I67" si="12">(F67+F71)/2</f>
        <v>79</v>
      </c>
      <c r="J67" s="325">
        <f t="shared" ref="J67" si="13">5950+5*I67</f>
        <v>6345</v>
      </c>
      <c r="K67" s="332">
        <v>95</v>
      </c>
      <c r="L67" s="333">
        <f>5950+5*K67</f>
        <v>6425</v>
      </c>
      <c r="M67" s="306"/>
      <c r="N67" s="341"/>
    </row>
    <row r="68" spans="1:14" x14ac:dyDescent="0.2">
      <c r="A68" s="335"/>
      <c r="B68" s="18">
        <v>73</v>
      </c>
      <c r="C68" s="19">
        <f t="shared" si="0"/>
        <v>6315</v>
      </c>
      <c r="D68" s="327"/>
      <c r="E68" s="308"/>
      <c r="F68" s="322"/>
      <c r="G68" s="325"/>
      <c r="H68" s="1"/>
      <c r="I68" s="347"/>
      <c r="J68" s="325"/>
      <c r="K68" s="322"/>
      <c r="L68" s="325"/>
      <c r="M68" s="306"/>
      <c r="N68" s="341"/>
    </row>
    <row r="69" spans="1:14" x14ac:dyDescent="0.2">
      <c r="A69" s="335"/>
      <c r="B69" s="18">
        <v>77</v>
      </c>
      <c r="C69" s="19">
        <f t="shared" si="0"/>
        <v>6335</v>
      </c>
      <c r="D69" s="327">
        <f>(B68+B69)/2</f>
        <v>75</v>
      </c>
      <c r="E69" s="308">
        <f t="shared" ref="E69" si="14">5950+5*D69</f>
        <v>6325</v>
      </c>
      <c r="F69" s="322"/>
      <c r="G69" s="325"/>
      <c r="H69" s="1"/>
      <c r="I69" s="347"/>
      <c r="J69" s="325"/>
      <c r="K69" s="322"/>
      <c r="L69" s="325"/>
      <c r="M69" s="306"/>
      <c r="N69" s="341"/>
    </row>
    <row r="70" spans="1:14" x14ac:dyDescent="0.2">
      <c r="A70" s="335"/>
      <c r="B70" s="18">
        <v>81</v>
      </c>
      <c r="C70" s="19">
        <f t="shared" si="0"/>
        <v>6355</v>
      </c>
      <c r="D70" s="327"/>
      <c r="E70" s="308"/>
      <c r="F70" s="322"/>
      <c r="G70" s="325"/>
      <c r="H70" s="1"/>
      <c r="I70" s="347"/>
      <c r="J70" s="325"/>
      <c r="K70" s="322"/>
      <c r="L70" s="325"/>
      <c r="M70" s="306"/>
      <c r="N70" s="341"/>
    </row>
    <row r="71" spans="1:14" x14ac:dyDescent="0.2">
      <c r="A71" s="335"/>
      <c r="B71" s="18">
        <v>85</v>
      </c>
      <c r="C71" s="19">
        <f t="shared" si="0"/>
        <v>6375</v>
      </c>
      <c r="D71" s="327">
        <f>(B70+B71)/2</f>
        <v>83</v>
      </c>
      <c r="E71" s="308">
        <f t="shared" ref="E71" si="15">5950+5*D71</f>
        <v>6365</v>
      </c>
      <c r="F71" s="347">
        <f>(D71+D73)/2</f>
        <v>87</v>
      </c>
      <c r="G71" s="325">
        <f t="shared" ref="G71" si="16">5950+5*F71</f>
        <v>6385</v>
      </c>
      <c r="H71" s="1"/>
      <c r="I71" s="347"/>
      <c r="J71" s="325"/>
      <c r="K71" s="322"/>
      <c r="L71" s="325"/>
      <c r="M71" s="306"/>
      <c r="N71" s="341"/>
    </row>
    <row r="72" spans="1:14" x14ac:dyDescent="0.2">
      <c r="A72" s="335"/>
      <c r="B72" s="18">
        <v>89</v>
      </c>
      <c r="C72" s="19">
        <f t="shared" si="0"/>
        <v>6395</v>
      </c>
      <c r="D72" s="327"/>
      <c r="E72" s="308"/>
      <c r="F72" s="347"/>
      <c r="G72" s="325"/>
      <c r="H72" s="1"/>
      <c r="I72" s="347"/>
      <c r="J72" s="325"/>
      <c r="K72" s="322"/>
      <c r="L72" s="325"/>
      <c r="M72" s="306"/>
      <c r="N72" s="341"/>
    </row>
    <row r="73" spans="1:14" ht="13.5" thickBot="1" x14ac:dyDescent="0.25">
      <c r="A73" s="336"/>
      <c r="B73" s="49">
        <v>93</v>
      </c>
      <c r="C73" s="19">
        <f t="shared" si="0"/>
        <v>6415</v>
      </c>
      <c r="D73" s="392">
        <f>(B72+B73)/2</f>
        <v>91</v>
      </c>
      <c r="E73" s="308">
        <f t="shared" ref="E73" si="17">5950+5*D73</f>
        <v>6405</v>
      </c>
      <c r="F73" s="347"/>
      <c r="G73" s="325"/>
      <c r="H73" s="1"/>
      <c r="I73" s="347"/>
      <c r="J73" s="325"/>
      <c r="K73" s="322"/>
      <c r="L73" s="325"/>
      <c r="M73" s="306"/>
      <c r="N73" s="341"/>
    </row>
    <row r="74" spans="1:14" ht="13.5" thickBot="1" x14ac:dyDescent="0.25">
      <c r="A74" s="310" t="s">
        <v>123</v>
      </c>
      <c r="B74" s="18">
        <v>97</v>
      </c>
      <c r="C74" s="19">
        <f t="shared" si="0"/>
        <v>6435</v>
      </c>
      <c r="D74" s="392"/>
      <c r="E74" s="308"/>
      <c r="F74" s="347"/>
      <c r="G74" s="325"/>
      <c r="H74" s="1"/>
      <c r="I74" s="347"/>
      <c r="J74" s="325"/>
      <c r="K74" s="322"/>
      <c r="L74" s="325"/>
      <c r="M74" s="307"/>
      <c r="N74" s="342"/>
    </row>
    <row r="75" spans="1:14" x14ac:dyDescent="0.2">
      <c r="A75" s="311"/>
      <c r="B75" s="18">
        <v>101</v>
      </c>
      <c r="C75" s="19">
        <f t="shared" si="0"/>
        <v>6455</v>
      </c>
      <c r="D75" s="327">
        <f>(B74+B75)/2</f>
        <v>99</v>
      </c>
      <c r="E75" s="308">
        <f t="shared" ref="E75" si="18">5950+5*D75</f>
        <v>6445</v>
      </c>
      <c r="F75" s="322">
        <f>(D75+D77)/2</f>
        <v>103</v>
      </c>
      <c r="G75" s="325">
        <f t="shared" ref="G75" si="19">5950+5*F75</f>
        <v>6465</v>
      </c>
      <c r="H75" s="1"/>
      <c r="I75" s="322">
        <f t="shared" ref="I75" si="20">(F75+F79)/2</f>
        <v>111</v>
      </c>
      <c r="J75" s="325">
        <f t="shared" ref="J75" si="21">5950+5*I75</f>
        <v>6505</v>
      </c>
      <c r="K75" s="322"/>
      <c r="L75" s="325"/>
      <c r="M75" s="327">
        <v>127</v>
      </c>
      <c r="N75" s="308">
        <v>6585</v>
      </c>
    </row>
    <row r="76" spans="1:14" x14ac:dyDescent="0.2">
      <c r="A76" s="311"/>
      <c r="B76" s="18">
        <v>105</v>
      </c>
      <c r="C76" s="19">
        <f t="shared" si="0"/>
        <v>6475</v>
      </c>
      <c r="D76" s="327"/>
      <c r="E76" s="308"/>
      <c r="F76" s="322"/>
      <c r="G76" s="325"/>
      <c r="H76" s="1"/>
      <c r="I76" s="322"/>
      <c r="J76" s="325"/>
      <c r="K76" s="322"/>
      <c r="L76" s="325"/>
      <c r="M76" s="327"/>
      <c r="N76" s="308"/>
    </row>
    <row r="77" spans="1:14" x14ac:dyDescent="0.2">
      <c r="A77" s="311"/>
      <c r="B77" s="18">
        <v>109</v>
      </c>
      <c r="C77" s="19">
        <f t="shared" si="0"/>
        <v>6495</v>
      </c>
      <c r="D77" s="327">
        <f>(B76+B77)/2</f>
        <v>107</v>
      </c>
      <c r="E77" s="308">
        <f t="shared" ref="E77" si="22">5950+5*D77</f>
        <v>6485</v>
      </c>
      <c r="F77" s="322"/>
      <c r="G77" s="325"/>
      <c r="H77" s="1"/>
      <c r="I77" s="322"/>
      <c r="J77" s="325"/>
      <c r="K77" s="322"/>
      <c r="L77" s="325"/>
      <c r="M77" s="327"/>
      <c r="N77" s="308"/>
    </row>
    <row r="78" spans="1:14" ht="13.5" thickBot="1" x14ac:dyDescent="0.25">
      <c r="A78" s="312"/>
      <c r="B78" s="18">
        <v>113</v>
      </c>
      <c r="C78" s="19">
        <f t="shared" si="0"/>
        <v>6515</v>
      </c>
      <c r="D78" s="327"/>
      <c r="E78" s="308"/>
      <c r="F78" s="322"/>
      <c r="G78" s="325"/>
      <c r="H78" s="1"/>
      <c r="I78" s="322"/>
      <c r="J78" s="325"/>
      <c r="K78" s="322"/>
      <c r="L78" s="325"/>
      <c r="M78" s="327"/>
      <c r="N78" s="308"/>
    </row>
    <row r="79" spans="1:14" x14ac:dyDescent="0.2">
      <c r="A79" s="329" t="s">
        <v>124</v>
      </c>
      <c r="B79" s="21">
        <v>117</v>
      </c>
      <c r="C79" s="19">
        <f t="shared" si="0"/>
        <v>6535</v>
      </c>
      <c r="D79" s="327">
        <f>(B78+B79)/2</f>
        <v>115</v>
      </c>
      <c r="E79" s="305">
        <f t="shared" ref="E79" si="23">5950+5*D79</f>
        <v>6525</v>
      </c>
      <c r="F79" s="322">
        <f>(D79+D81)/2</f>
        <v>119</v>
      </c>
      <c r="G79" s="325">
        <f t="shared" ref="G79" si="24">5950+5*F79</f>
        <v>6545</v>
      </c>
      <c r="H79" s="1"/>
      <c r="I79" s="322"/>
      <c r="J79" s="325"/>
      <c r="K79" s="322"/>
      <c r="L79" s="325"/>
      <c r="M79" s="327"/>
      <c r="N79" s="308"/>
    </row>
    <row r="80" spans="1:14" x14ac:dyDescent="0.2">
      <c r="A80" s="330"/>
      <c r="B80" s="21">
        <v>121</v>
      </c>
      <c r="C80" s="19">
        <f t="shared" si="0"/>
        <v>6555</v>
      </c>
      <c r="D80" s="327"/>
      <c r="E80" s="305"/>
      <c r="F80" s="322"/>
      <c r="G80" s="325"/>
      <c r="H80" s="1"/>
      <c r="I80" s="322"/>
      <c r="J80" s="325"/>
      <c r="K80" s="322"/>
      <c r="L80" s="325"/>
      <c r="M80" s="327"/>
      <c r="N80" s="308"/>
    </row>
    <row r="81" spans="1:14" x14ac:dyDescent="0.2">
      <c r="A81" s="330"/>
      <c r="B81" s="21">
        <v>125</v>
      </c>
      <c r="C81" s="19">
        <f t="shared" si="0"/>
        <v>6575</v>
      </c>
      <c r="D81" s="327">
        <f>(B80+B81)/2</f>
        <v>123</v>
      </c>
      <c r="E81" s="305">
        <f t="shared" ref="E81" si="25">5950+5*D81</f>
        <v>6565</v>
      </c>
      <c r="F81" s="322"/>
      <c r="G81" s="325"/>
      <c r="H81" s="1"/>
      <c r="I81" s="322"/>
      <c r="J81" s="325"/>
      <c r="K81" s="322"/>
      <c r="L81" s="325"/>
      <c r="M81" s="327"/>
      <c r="N81" s="308"/>
    </row>
    <row r="82" spans="1:14" ht="13.5" thickBot="1" x14ac:dyDescent="0.25">
      <c r="A82" s="330"/>
      <c r="B82" s="21">
        <v>129</v>
      </c>
      <c r="C82" s="19">
        <f t="shared" si="0"/>
        <v>6595</v>
      </c>
      <c r="D82" s="327"/>
      <c r="E82" s="305"/>
      <c r="F82" s="322"/>
      <c r="G82" s="325"/>
      <c r="H82" s="1"/>
      <c r="I82" s="322"/>
      <c r="J82" s="325"/>
      <c r="K82" s="323"/>
      <c r="L82" s="326"/>
      <c r="M82" s="327"/>
      <c r="N82" s="308"/>
    </row>
    <row r="83" spans="1:14" x14ac:dyDescent="0.2">
      <c r="A83" s="330"/>
      <c r="B83" s="21">
        <v>133</v>
      </c>
      <c r="C83" s="19">
        <f t="shared" si="0"/>
        <v>6615</v>
      </c>
      <c r="D83" s="327">
        <f>(B82+B83)/2</f>
        <v>131</v>
      </c>
      <c r="E83" s="305">
        <f t="shared" ref="E83" si="26">5950+5*D83</f>
        <v>6605</v>
      </c>
      <c r="F83" s="322">
        <f>(D83+D85)/2</f>
        <v>135</v>
      </c>
      <c r="G83" s="325">
        <f t="shared" ref="G83" si="27">5950+5*F83</f>
        <v>6625</v>
      </c>
      <c r="H83" s="1"/>
      <c r="I83" s="322">
        <f t="shared" ref="I83" si="28">(F83+F87)/2</f>
        <v>143</v>
      </c>
      <c r="J83" s="325">
        <f t="shared" ref="J83" si="29">5950+5*I83</f>
        <v>6665</v>
      </c>
      <c r="K83" s="321">
        <v>159</v>
      </c>
      <c r="L83" s="324">
        <f>5950+5*K83</f>
        <v>6745</v>
      </c>
      <c r="M83" s="327"/>
      <c r="N83" s="308"/>
    </row>
    <row r="84" spans="1:14" x14ac:dyDescent="0.2">
      <c r="A84" s="330"/>
      <c r="B84" s="21">
        <v>137</v>
      </c>
      <c r="C84" s="19">
        <f t="shared" si="0"/>
        <v>6635</v>
      </c>
      <c r="D84" s="327"/>
      <c r="E84" s="305"/>
      <c r="F84" s="322"/>
      <c r="G84" s="325"/>
      <c r="H84" s="1"/>
      <c r="I84" s="322"/>
      <c r="J84" s="325"/>
      <c r="K84" s="322"/>
      <c r="L84" s="325"/>
      <c r="M84" s="327"/>
      <c r="N84" s="308"/>
    </row>
    <row r="85" spans="1:14" x14ac:dyDescent="0.2">
      <c r="A85" s="330"/>
      <c r="B85" s="21">
        <v>141</v>
      </c>
      <c r="C85" s="19">
        <f t="shared" si="0"/>
        <v>6655</v>
      </c>
      <c r="D85" s="327">
        <f>(B84+B85)/2</f>
        <v>139</v>
      </c>
      <c r="E85" s="305">
        <f t="shared" ref="E85" si="30">5950+5*D85</f>
        <v>6645</v>
      </c>
      <c r="F85" s="322"/>
      <c r="G85" s="325"/>
      <c r="H85" s="1"/>
      <c r="I85" s="322"/>
      <c r="J85" s="325"/>
      <c r="K85" s="322"/>
      <c r="L85" s="325"/>
      <c r="M85" s="327"/>
      <c r="N85" s="308"/>
    </row>
    <row r="86" spans="1:14" x14ac:dyDescent="0.2">
      <c r="A86" s="330"/>
      <c r="B86" s="21">
        <v>145</v>
      </c>
      <c r="C86" s="19">
        <f t="shared" si="0"/>
        <v>6675</v>
      </c>
      <c r="D86" s="327"/>
      <c r="E86" s="305"/>
      <c r="F86" s="322"/>
      <c r="G86" s="325"/>
      <c r="H86" s="1"/>
      <c r="I86" s="322"/>
      <c r="J86" s="325"/>
      <c r="K86" s="322"/>
      <c r="L86" s="325"/>
      <c r="M86" s="327"/>
      <c r="N86" s="308"/>
    </row>
    <row r="87" spans="1:14" x14ac:dyDescent="0.2">
      <c r="A87" s="330"/>
      <c r="B87" s="21">
        <v>149</v>
      </c>
      <c r="C87" s="19">
        <f t="shared" si="0"/>
        <v>6695</v>
      </c>
      <c r="D87" s="327">
        <f>(B86+B87)/2</f>
        <v>147</v>
      </c>
      <c r="E87" s="305">
        <f t="shared" ref="E87" si="31">5950+5*D87</f>
        <v>6685</v>
      </c>
      <c r="F87" s="322">
        <f>(D87+D89)/2</f>
        <v>151</v>
      </c>
      <c r="G87" s="325">
        <f t="shared" ref="G87" si="32">5950+5*F87</f>
        <v>6705</v>
      </c>
      <c r="H87" s="1"/>
      <c r="I87" s="322"/>
      <c r="J87" s="325"/>
      <c r="K87" s="322"/>
      <c r="L87" s="325"/>
      <c r="M87" s="327"/>
      <c r="N87" s="308"/>
    </row>
    <row r="88" spans="1:14" x14ac:dyDescent="0.2">
      <c r="A88" s="330"/>
      <c r="B88" s="21">
        <v>153</v>
      </c>
      <c r="C88" s="19">
        <f t="shared" si="0"/>
        <v>6715</v>
      </c>
      <c r="D88" s="327"/>
      <c r="E88" s="305"/>
      <c r="F88" s="322"/>
      <c r="G88" s="325"/>
      <c r="H88" s="1"/>
      <c r="I88" s="322"/>
      <c r="J88" s="325"/>
      <c r="K88" s="322"/>
      <c r="L88" s="325"/>
      <c r="M88" s="327"/>
      <c r="N88" s="308"/>
    </row>
    <row r="89" spans="1:14" x14ac:dyDescent="0.2">
      <c r="A89" s="330"/>
      <c r="B89" s="21">
        <v>157</v>
      </c>
      <c r="C89" s="19">
        <f t="shared" si="0"/>
        <v>6735</v>
      </c>
      <c r="D89" s="327">
        <f>(B88+B89)/2</f>
        <v>155</v>
      </c>
      <c r="E89" s="305">
        <f t="shared" ref="E89" si="33">5950+5*D89</f>
        <v>6725</v>
      </c>
      <c r="F89" s="322"/>
      <c r="G89" s="325"/>
      <c r="H89" s="1"/>
      <c r="I89" s="322"/>
      <c r="J89" s="325"/>
      <c r="K89" s="322"/>
      <c r="L89" s="325"/>
      <c r="M89" s="327"/>
      <c r="N89" s="308"/>
    </row>
    <row r="90" spans="1:14" ht="13.5" thickBot="1" x14ac:dyDescent="0.25">
      <c r="A90" s="330"/>
      <c r="B90" s="21">
        <v>161</v>
      </c>
      <c r="C90" s="19">
        <f t="shared" si="0"/>
        <v>6755</v>
      </c>
      <c r="D90" s="327"/>
      <c r="E90" s="305"/>
      <c r="F90" s="322"/>
      <c r="G90" s="325"/>
      <c r="H90" s="1"/>
      <c r="I90" s="322"/>
      <c r="J90" s="325"/>
      <c r="K90" s="322"/>
      <c r="L90" s="325"/>
      <c r="M90" s="328"/>
      <c r="N90" s="309"/>
    </row>
    <row r="91" spans="1:14" x14ac:dyDescent="0.2">
      <c r="A91" s="330"/>
      <c r="B91" s="21">
        <v>165</v>
      </c>
      <c r="C91" s="19">
        <f t="shared" si="0"/>
        <v>6775</v>
      </c>
      <c r="D91" s="327">
        <f>(B90+B91)/2</f>
        <v>163</v>
      </c>
      <c r="E91" s="305">
        <f t="shared" ref="E91" si="34">5950+5*D91</f>
        <v>6765</v>
      </c>
      <c r="F91" s="343">
        <f>(D91+D93)/2</f>
        <v>167</v>
      </c>
      <c r="G91" s="315">
        <f t="shared" ref="G91" si="35">5950+5*F91</f>
        <v>6785</v>
      </c>
      <c r="H91" s="16"/>
      <c r="I91" s="322">
        <f t="shared" ref="I91" si="36">(F91+F95)/2</f>
        <v>175</v>
      </c>
      <c r="J91" s="325">
        <f t="shared" ref="J91" si="37">5950+5*I91</f>
        <v>6825</v>
      </c>
      <c r="K91" s="322"/>
      <c r="L91" s="325"/>
      <c r="M91" s="306">
        <v>191</v>
      </c>
      <c r="N91" s="308">
        <v>6905</v>
      </c>
    </row>
    <row r="92" spans="1:14" x14ac:dyDescent="0.2">
      <c r="A92" s="330"/>
      <c r="B92" s="21">
        <v>169</v>
      </c>
      <c r="C92" s="19">
        <f t="shared" si="0"/>
        <v>6795</v>
      </c>
      <c r="D92" s="327"/>
      <c r="E92" s="305"/>
      <c r="F92" s="343"/>
      <c r="G92" s="315"/>
      <c r="H92" s="16"/>
      <c r="I92" s="322"/>
      <c r="J92" s="325"/>
      <c r="K92" s="322"/>
      <c r="L92" s="325"/>
      <c r="M92" s="306"/>
      <c r="N92" s="308"/>
    </row>
    <row r="93" spans="1:14" x14ac:dyDescent="0.2">
      <c r="A93" s="330"/>
      <c r="B93" s="21">
        <v>173</v>
      </c>
      <c r="C93" s="19">
        <f t="shared" si="0"/>
        <v>6815</v>
      </c>
      <c r="D93" s="327">
        <f>(B92+B93)/2</f>
        <v>171</v>
      </c>
      <c r="E93" s="305">
        <f t="shared" ref="E93" si="38">5950+5*D93</f>
        <v>6805</v>
      </c>
      <c r="F93" s="343"/>
      <c r="G93" s="315"/>
      <c r="H93" s="16"/>
      <c r="I93" s="322"/>
      <c r="J93" s="325"/>
      <c r="K93" s="322"/>
      <c r="L93" s="325"/>
      <c r="M93" s="306"/>
      <c r="N93" s="308"/>
    </row>
    <row r="94" spans="1:14" x14ac:dyDescent="0.2">
      <c r="A94" s="330"/>
      <c r="B94" s="21">
        <v>177</v>
      </c>
      <c r="C94" s="19">
        <f t="shared" si="0"/>
        <v>6835</v>
      </c>
      <c r="D94" s="327"/>
      <c r="E94" s="305"/>
      <c r="F94" s="343"/>
      <c r="G94" s="315"/>
      <c r="H94" s="16"/>
      <c r="I94" s="322"/>
      <c r="J94" s="325"/>
      <c r="K94" s="322"/>
      <c r="L94" s="325"/>
      <c r="M94" s="306"/>
      <c r="N94" s="308"/>
    </row>
    <row r="95" spans="1:14" x14ac:dyDescent="0.2">
      <c r="A95" s="330"/>
      <c r="B95" s="21">
        <v>181</v>
      </c>
      <c r="C95" s="19">
        <f t="shared" si="0"/>
        <v>6855</v>
      </c>
      <c r="D95" s="327">
        <f>(B94+B95)/2</f>
        <v>179</v>
      </c>
      <c r="E95" s="305">
        <f t="shared" ref="E95" si="39">5950+5*D95</f>
        <v>6845</v>
      </c>
      <c r="F95" s="322">
        <f>(D95+D97)/2</f>
        <v>183</v>
      </c>
      <c r="G95" s="325">
        <f t="shared" ref="G95" si="40">5950+5*F95</f>
        <v>6865</v>
      </c>
      <c r="H95" s="1"/>
      <c r="I95" s="322"/>
      <c r="J95" s="325"/>
      <c r="K95" s="322"/>
      <c r="L95" s="325"/>
      <c r="M95" s="306"/>
      <c r="N95" s="308"/>
    </row>
    <row r="96" spans="1:14" ht="13.5" thickBot="1" x14ac:dyDescent="0.25">
      <c r="A96" s="331"/>
      <c r="B96" s="21">
        <v>185</v>
      </c>
      <c r="C96" s="19">
        <f t="shared" si="0"/>
        <v>6875</v>
      </c>
      <c r="D96" s="327"/>
      <c r="E96" s="305"/>
      <c r="F96" s="322"/>
      <c r="G96" s="325"/>
      <c r="H96" s="1"/>
      <c r="I96" s="322"/>
      <c r="J96" s="325"/>
      <c r="K96" s="322"/>
      <c r="L96" s="325"/>
      <c r="M96" s="306"/>
      <c r="N96" s="308"/>
    </row>
    <row r="97" spans="1:14" x14ac:dyDescent="0.2">
      <c r="A97" s="310" t="s">
        <v>125</v>
      </c>
      <c r="B97" s="18">
        <v>189</v>
      </c>
      <c r="C97" s="19">
        <f t="shared" si="0"/>
        <v>6895</v>
      </c>
      <c r="D97" s="327">
        <f>(B96+B97)/2</f>
        <v>187</v>
      </c>
      <c r="E97" s="305">
        <f t="shared" ref="E97" si="41">5950+5*D97</f>
        <v>6885</v>
      </c>
      <c r="F97" s="322"/>
      <c r="G97" s="325"/>
      <c r="H97" s="1"/>
      <c r="I97" s="322"/>
      <c r="J97" s="325"/>
      <c r="K97" s="322"/>
      <c r="L97" s="325"/>
      <c r="M97" s="306"/>
      <c r="N97" s="308"/>
    </row>
    <row r="98" spans="1:14" ht="13.5" thickBot="1" x14ac:dyDescent="0.25">
      <c r="A98" s="311"/>
      <c r="B98" s="18">
        <v>193</v>
      </c>
      <c r="C98" s="19">
        <f t="shared" si="0"/>
        <v>6915</v>
      </c>
      <c r="D98" s="327"/>
      <c r="E98" s="305"/>
      <c r="F98" s="322"/>
      <c r="G98" s="325"/>
      <c r="H98" s="1"/>
      <c r="I98" s="322"/>
      <c r="J98" s="325"/>
      <c r="K98" s="323"/>
      <c r="L98" s="326"/>
      <c r="M98" s="306"/>
      <c r="N98" s="308"/>
    </row>
    <row r="99" spans="1:14" x14ac:dyDescent="0.2">
      <c r="A99" s="311"/>
      <c r="B99" s="18">
        <v>197</v>
      </c>
      <c r="C99" s="19">
        <f t="shared" si="0"/>
        <v>6935</v>
      </c>
      <c r="D99" s="327">
        <f>(B98+B99)/2</f>
        <v>195</v>
      </c>
      <c r="E99" s="305">
        <f t="shared" ref="E99" si="42">5950+5*D99</f>
        <v>6925</v>
      </c>
      <c r="F99" s="343">
        <f>(D99+D101)/2</f>
        <v>199</v>
      </c>
      <c r="G99" s="315">
        <f t="shared" ref="G99" si="43">5950+5*F99</f>
        <v>6945</v>
      </c>
      <c r="H99" s="16"/>
      <c r="I99" s="313">
        <f t="shared" ref="I99" si="44">(F99+F103)/2</f>
        <v>207</v>
      </c>
      <c r="J99" s="315">
        <f t="shared" ref="J99" si="45">5950+5*I99</f>
        <v>6985</v>
      </c>
      <c r="K99" s="317" t="s">
        <v>116</v>
      </c>
      <c r="L99" s="318"/>
      <c r="M99" s="306"/>
      <c r="N99" s="308"/>
    </row>
    <row r="100" spans="1:14" x14ac:dyDescent="0.2">
      <c r="A100" s="311"/>
      <c r="B100" s="18">
        <v>201</v>
      </c>
      <c r="C100" s="19">
        <f t="shared" si="0"/>
        <v>6955</v>
      </c>
      <c r="D100" s="327"/>
      <c r="E100" s="305"/>
      <c r="F100" s="343"/>
      <c r="G100" s="315"/>
      <c r="H100" s="16"/>
      <c r="I100" s="313"/>
      <c r="J100" s="315"/>
      <c r="K100" s="319"/>
      <c r="L100" s="320"/>
      <c r="M100" s="306"/>
      <c r="N100" s="308"/>
    </row>
    <row r="101" spans="1:14" x14ac:dyDescent="0.2">
      <c r="A101" s="311"/>
      <c r="B101" s="18">
        <v>205</v>
      </c>
      <c r="C101" s="19">
        <f t="shared" si="0"/>
        <v>6975</v>
      </c>
      <c r="D101" s="327">
        <f>(B100+B101)/2</f>
        <v>203</v>
      </c>
      <c r="E101" s="305">
        <f t="shared" ref="E101" si="46">5950+5*D101</f>
        <v>6965</v>
      </c>
      <c r="F101" s="343"/>
      <c r="G101" s="315"/>
      <c r="H101" s="16"/>
      <c r="I101" s="313"/>
      <c r="J101" s="315"/>
      <c r="K101" s="319"/>
      <c r="L101" s="320"/>
      <c r="M101" s="306"/>
      <c r="N101" s="308"/>
    </row>
    <row r="102" spans="1:14" x14ac:dyDescent="0.2">
      <c r="A102" s="311"/>
      <c r="B102" s="18">
        <v>209</v>
      </c>
      <c r="C102" s="19">
        <f t="shared" si="0"/>
        <v>6995</v>
      </c>
      <c r="D102" s="327"/>
      <c r="E102" s="305"/>
      <c r="F102" s="343"/>
      <c r="G102" s="315"/>
      <c r="H102" s="16"/>
      <c r="I102" s="313"/>
      <c r="J102" s="315"/>
      <c r="K102" s="319"/>
      <c r="L102" s="320"/>
      <c r="M102" s="306"/>
      <c r="N102" s="308"/>
    </row>
    <row r="103" spans="1:14" x14ac:dyDescent="0.2">
      <c r="A103" s="311"/>
      <c r="B103" s="18">
        <v>213</v>
      </c>
      <c r="C103" s="19">
        <f t="shared" si="0"/>
        <v>7015</v>
      </c>
      <c r="D103" s="327">
        <f>(B102+B103)/2</f>
        <v>211</v>
      </c>
      <c r="E103" s="305">
        <f t="shared" ref="E103" si="47">5950+5*D103</f>
        <v>7005</v>
      </c>
      <c r="F103" s="313">
        <f>(D103+D105)/2</f>
        <v>215</v>
      </c>
      <c r="G103" s="315">
        <f t="shared" ref="G103" si="48">5950+5*F103</f>
        <v>7025</v>
      </c>
      <c r="H103" s="16"/>
      <c r="I103" s="313"/>
      <c r="J103" s="315"/>
      <c r="K103" s="319"/>
      <c r="L103" s="320"/>
      <c r="M103" s="306"/>
      <c r="N103" s="308"/>
    </row>
    <row r="104" spans="1:14" x14ac:dyDescent="0.2">
      <c r="A104" s="311"/>
      <c r="B104" s="18">
        <v>217</v>
      </c>
      <c r="C104" s="19">
        <f t="shared" si="0"/>
        <v>7035</v>
      </c>
      <c r="D104" s="327"/>
      <c r="E104" s="305"/>
      <c r="F104" s="313"/>
      <c r="G104" s="315"/>
      <c r="H104" s="16"/>
      <c r="I104" s="313"/>
      <c r="J104" s="315"/>
      <c r="K104" s="319"/>
      <c r="L104" s="320"/>
      <c r="M104" s="306"/>
      <c r="N104" s="308"/>
    </row>
    <row r="105" spans="1:14" x14ac:dyDescent="0.2">
      <c r="A105" s="311"/>
      <c r="B105" s="18">
        <v>221</v>
      </c>
      <c r="C105" s="19">
        <f t="shared" si="0"/>
        <v>7055</v>
      </c>
      <c r="D105" s="327">
        <f>(B104+B105)/2</f>
        <v>219</v>
      </c>
      <c r="E105" s="305">
        <f t="shared" ref="E105" si="49">5950+5*D105</f>
        <v>7045</v>
      </c>
      <c r="F105" s="313"/>
      <c r="G105" s="315"/>
      <c r="H105" s="16"/>
      <c r="I105" s="313"/>
      <c r="J105" s="315"/>
      <c r="K105" s="319"/>
      <c r="L105" s="320"/>
      <c r="M105" s="306"/>
      <c r="N105" s="308"/>
    </row>
    <row r="106" spans="1:14" ht="13.5" thickBot="1" x14ac:dyDescent="0.25">
      <c r="A106" s="311"/>
      <c r="B106" s="18">
        <v>225</v>
      </c>
      <c r="C106" s="19">
        <f t="shared" si="0"/>
        <v>7075</v>
      </c>
      <c r="D106" s="327"/>
      <c r="E106" s="305"/>
      <c r="F106" s="314"/>
      <c r="G106" s="316"/>
      <c r="H106" s="16"/>
      <c r="I106" s="314"/>
      <c r="J106" s="316"/>
      <c r="K106" s="319"/>
      <c r="L106" s="320"/>
      <c r="M106" s="307"/>
      <c r="N106" s="309"/>
    </row>
    <row r="107" spans="1:14" x14ac:dyDescent="0.2">
      <c r="A107" s="311"/>
      <c r="B107" s="18">
        <v>229</v>
      </c>
      <c r="C107" s="19">
        <f t="shared" si="0"/>
        <v>7095</v>
      </c>
      <c r="D107" s="306">
        <f>(B106+B107)/2</f>
        <v>227</v>
      </c>
      <c r="E107" s="308">
        <f t="shared" ref="E107" si="50">5950+5*D107</f>
        <v>7085</v>
      </c>
      <c r="F107" s="22"/>
      <c r="G107" s="23"/>
      <c r="H107" s="3"/>
      <c r="I107" s="22"/>
      <c r="J107" s="23"/>
      <c r="K107" s="3"/>
      <c r="L107" s="3"/>
      <c r="M107" s="3"/>
      <c r="N107" s="3"/>
    </row>
    <row r="108" spans="1:14" ht="13.5" thickBot="1" x14ac:dyDescent="0.25">
      <c r="A108" s="312"/>
      <c r="B108" s="121">
        <v>233</v>
      </c>
      <c r="C108" s="26">
        <f t="shared" si="0"/>
        <v>7115</v>
      </c>
      <c r="D108" s="307"/>
      <c r="E108" s="309"/>
      <c r="F108" s="24"/>
      <c r="G108" s="25"/>
      <c r="H108" s="3"/>
      <c r="I108" s="24"/>
      <c r="J108" s="25"/>
      <c r="K108" s="2"/>
      <c r="L108" s="2"/>
      <c r="M108" s="2"/>
      <c r="N108" s="2"/>
    </row>
    <row r="109" spans="1:14" ht="13.5" thickBot="1" x14ac:dyDescent="0.25">
      <c r="A109" s="1"/>
      <c r="B109" s="4"/>
      <c r="C109" s="4"/>
      <c r="D109" s="27"/>
      <c r="E109" s="28"/>
      <c r="F109" s="29"/>
      <c r="G109" s="35"/>
      <c r="H109" s="3"/>
      <c r="I109" s="37"/>
      <c r="J109" s="29"/>
      <c r="K109" s="31"/>
      <c r="L109" s="2"/>
      <c r="M109" s="2"/>
      <c r="N109" s="2"/>
    </row>
    <row r="110" spans="1:14" ht="13.5" thickBot="1" x14ac:dyDescent="0.25">
      <c r="A110" s="1"/>
      <c r="B110" s="4"/>
      <c r="C110" s="4"/>
      <c r="D110" s="29"/>
      <c r="E110" s="29"/>
      <c r="F110" s="29"/>
      <c r="G110" s="35"/>
      <c r="H110" s="3"/>
      <c r="I110" s="37"/>
      <c r="J110" s="29"/>
      <c r="K110" s="31"/>
      <c r="L110" s="2"/>
      <c r="M110" s="20"/>
      <c r="N110" s="20"/>
    </row>
    <row r="111" spans="1:14" ht="13.5" thickBot="1" x14ac:dyDescent="0.25">
      <c r="A111" s="1"/>
      <c r="B111" s="4"/>
      <c r="C111" s="4"/>
      <c r="D111" s="32"/>
      <c r="E111" s="32"/>
      <c r="F111" s="29"/>
      <c r="G111" s="35"/>
      <c r="H111" s="3"/>
      <c r="I111" s="37"/>
      <c r="J111" s="29"/>
      <c r="K111" s="31"/>
      <c r="L111" s="2"/>
      <c r="M111" s="2"/>
      <c r="N111" s="20"/>
    </row>
    <row r="112" spans="1:14" ht="24.75" thickBot="1" x14ac:dyDescent="0.25">
      <c r="A112" s="1"/>
      <c r="B112" s="74" t="s">
        <v>108</v>
      </c>
      <c r="C112" s="55" t="s">
        <v>109</v>
      </c>
      <c r="D112" s="75" t="s">
        <v>110</v>
      </c>
      <c r="E112" s="32"/>
      <c r="F112" s="29"/>
      <c r="G112" s="35"/>
      <c r="H112" s="3"/>
      <c r="I112" s="37"/>
      <c r="J112" s="29"/>
      <c r="K112" s="31"/>
      <c r="L112" s="2"/>
      <c r="M112" s="2"/>
      <c r="N112" s="2"/>
    </row>
    <row r="113" spans="1:14" ht="30.75" thickBot="1" x14ac:dyDescent="0.25">
      <c r="A113" s="302" t="s">
        <v>87</v>
      </c>
      <c r="B113" s="68">
        <v>1</v>
      </c>
      <c r="C113" s="122">
        <v>2412</v>
      </c>
      <c r="D113" s="69" t="s">
        <v>126</v>
      </c>
      <c r="E113" s="51"/>
      <c r="F113" s="33"/>
      <c r="G113" s="36"/>
      <c r="H113" s="6"/>
      <c r="I113" s="37"/>
      <c r="J113" s="29"/>
      <c r="K113" s="31"/>
      <c r="L113" s="2"/>
      <c r="M113" s="2"/>
      <c r="N113" s="2"/>
    </row>
    <row r="114" spans="1:14" ht="13.5" thickBot="1" x14ac:dyDescent="0.25">
      <c r="A114" s="303"/>
      <c r="B114" s="12">
        <v>2</v>
      </c>
      <c r="C114" s="123">
        <f t="shared" ref="C114:C123" si="51">C113+5</f>
        <v>2417</v>
      </c>
      <c r="D114" s="70" t="s">
        <v>126</v>
      </c>
      <c r="E114" s="51"/>
      <c r="F114" s="32"/>
      <c r="G114" s="36"/>
      <c r="H114" s="6"/>
      <c r="I114" s="37"/>
      <c r="J114" s="29"/>
      <c r="K114" s="31"/>
      <c r="L114" s="2"/>
      <c r="M114" s="2"/>
      <c r="N114" s="2"/>
    </row>
    <row r="115" spans="1:14" ht="13.5" thickBot="1" x14ac:dyDescent="0.25">
      <c r="A115" s="303"/>
      <c r="B115" s="50">
        <v>3</v>
      </c>
      <c r="C115" s="123">
        <f t="shared" si="51"/>
        <v>2422</v>
      </c>
      <c r="D115" s="124">
        <v>2422</v>
      </c>
      <c r="E115" s="57"/>
      <c r="F115" s="32"/>
      <c r="G115" s="36"/>
      <c r="H115" s="6"/>
      <c r="I115" s="37"/>
      <c r="J115" s="29"/>
      <c r="K115" s="31"/>
      <c r="L115" s="2"/>
      <c r="M115" s="2"/>
      <c r="N115" s="2"/>
    </row>
    <row r="116" spans="1:14" ht="13.5" thickBot="1" x14ac:dyDescent="0.25">
      <c r="A116" s="303"/>
      <c r="B116" s="50">
        <v>4</v>
      </c>
      <c r="C116" s="52">
        <f t="shared" si="51"/>
        <v>2427</v>
      </c>
      <c r="D116" s="124">
        <v>2427</v>
      </c>
      <c r="E116" s="305"/>
      <c r="F116" s="51"/>
      <c r="G116" s="36"/>
      <c r="H116" s="6"/>
      <c r="I116" s="37"/>
      <c r="J116" s="29"/>
      <c r="K116" s="31"/>
      <c r="L116" s="2"/>
      <c r="M116" s="2"/>
      <c r="N116" s="2"/>
    </row>
    <row r="117" spans="1:14" ht="13.5" thickBot="1" x14ac:dyDescent="0.25">
      <c r="A117" s="303"/>
      <c r="B117" s="50">
        <v>5</v>
      </c>
      <c r="C117" s="52">
        <f t="shared" si="51"/>
        <v>2432</v>
      </c>
      <c r="D117" s="124">
        <v>2432</v>
      </c>
      <c r="E117" s="305"/>
      <c r="F117" s="51"/>
      <c r="G117" s="36"/>
      <c r="H117" s="6"/>
      <c r="I117" s="37"/>
      <c r="J117" s="29"/>
      <c r="K117" s="31"/>
      <c r="L117" s="2"/>
      <c r="M117" s="20"/>
      <c r="N117" s="20"/>
    </row>
    <row r="118" spans="1:14" ht="13.5" thickBot="1" x14ac:dyDescent="0.25">
      <c r="A118" s="303"/>
      <c r="B118" s="50">
        <v>6</v>
      </c>
      <c r="C118" s="52">
        <f t="shared" si="51"/>
        <v>2437</v>
      </c>
      <c r="D118" s="71">
        <v>2437</v>
      </c>
      <c r="E118" s="305"/>
      <c r="F118" s="51"/>
      <c r="G118" s="36"/>
      <c r="H118" s="6"/>
      <c r="I118" s="37"/>
      <c r="J118" s="29"/>
      <c r="K118" s="31"/>
      <c r="L118" s="2"/>
      <c r="M118" s="2"/>
      <c r="N118" s="20"/>
    </row>
    <row r="119" spans="1:14" ht="13.5" thickBot="1" x14ac:dyDescent="0.25">
      <c r="A119" s="303"/>
      <c r="B119" s="50">
        <v>7</v>
      </c>
      <c r="C119" s="52">
        <f t="shared" si="51"/>
        <v>2442</v>
      </c>
      <c r="D119" s="71">
        <v>2442</v>
      </c>
      <c r="E119" s="6"/>
      <c r="F119" s="51"/>
      <c r="G119" s="36"/>
      <c r="H119" s="6"/>
      <c r="I119" s="37"/>
      <c r="J119" s="29"/>
      <c r="K119" s="31"/>
      <c r="L119" s="2"/>
      <c r="M119" s="2"/>
      <c r="N119" s="2"/>
    </row>
    <row r="120" spans="1:14" ht="13.5" thickBot="1" x14ac:dyDescent="0.25">
      <c r="A120" s="303"/>
      <c r="B120" s="50">
        <v>8</v>
      </c>
      <c r="C120" s="52">
        <f t="shared" si="51"/>
        <v>2447</v>
      </c>
      <c r="D120" s="71">
        <v>2447</v>
      </c>
      <c r="E120" s="6"/>
      <c r="F120" s="51"/>
      <c r="G120" s="36"/>
      <c r="H120" s="6"/>
      <c r="I120" s="37"/>
      <c r="J120" s="29"/>
      <c r="K120" s="31"/>
      <c r="L120" s="2"/>
      <c r="M120" s="2"/>
      <c r="N120" s="2"/>
    </row>
    <row r="121" spans="1:14" ht="13.5" thickBot="1" x14ac:dyDescent="0.25">
      <c r="A121" s="303"/>
      <c r="B121" s="50">
        <v>9</v>
      </c>
      <c r="C121" s="52">
        <f t="shared" si="51"/>
        <v>2452</v>
      </c>
      <c r="D121" s="124">
        <v>2452</v>
      </c>
      <c r="E121" s="6"/>
      <c r="F121" s="51"/>
      <c r="G121" s="36"/>
      <c r="H121" s="6"/>
      <c r="I121" s="37"/>
      <c r="J121" s="29"/>
      <c r="K121" s="31"/>
      <c r="L121" s="2"/>
      <c r="M121" s="2"/>
      <c r="N121" s="2"/>
    </row>
    <row r="122" spans="1:14" ht="13.5" thickBot="1" x14ac:dyDescent="0.25">
      <c r="A122" s="303"/>
      <c r="B122" s="12">
        <v>10</v>
      </c>
      <c r="C122" s="122">
        <f t="shared" si="51"/>
        <v>2457</v>
      </c>
      <c r="D122" s="124">
        <v>2457</v>
      </c>
      <c r="E122" s="305"/>
      <c r="F122" s="51"/>
      <c r="G122" s="36"/>
      <c r="H122" s="6"/>
      <c r="I122" s="37"/>
      <c r="J122" s="29"/>
      <c r="K122" s="31"/>
      <c r="L122" s="2"/>
      <c r="M122" s="2"/>
      <c r="N122" s="2"/>
    </row>
    <row r="123" spans="1:14" ht="13.5" thickBot="1" x14ac:dyDescent="0.25">
      <c r="A123" s="303"/>
      <c r="B123" s="12">
        <v>11</v>
      </c>
      <c r="C123" s="125">
        <f t="shared" si="51"/>
        <v>2462</v>
      </c>
      <c r="D123" s="124">
        <v>2462</v>
      </c>
      <c r="E123" s="305"/>
      <c r="F123" s="51"/>
      <c r="G123" s="36"/>
      <c r="H123" s="6"/>
      <c r="I123" s="37"/>
      <c r="J123" s="29"/>
      <c r="K123" s="31"/>
      <c r="L123" s="2"/>
      <c r="M123" s="2"/>
      <c r="N123" s="2"/>
    </row>
    <row r="124" spans="1:14" ht="15.75" thickBot="1" x14ac:dyDescent="0.3">
      <c r="A124" s="303"/>
      <c r="B124" s="12">
        <v>12</v>
      </c>
      <c r="C124" s="58">
        <v>2467</v>
      </c>
      <c r="D124" s="70" t="s">
        <v>126</v>
      </c>
      <c r="E124" s="305"/>
      <c r="F124" s="51"/>
      <c r="G124" s="36"/>
      <c r="H124" s="6"/>
      <c r="I124" s="37"/>
      <c r="J124" s="29"/>
      <c r="K124" s="31"/>
      <c r="L124" s="2"/>
      <c r="M124" s="2"/>
      <c r="N124" s="2"/>
    </row>
    <row r="125" spans="1:14" ht="15.75" thickBot="1" x14ac:dyDescent="0.3">
      <c r="A125" s="304"/>
      <c r="B125" s="72">
        <v>13</v>
      </c>
      <c r="C125" s="59">
        <v>2472</v>
      </c>
      <c r="D125" s="73" t="s">
        <v>126</v>
      </c>
      <c r="E125" s="67"/>
      <c r="F125" s="32"/>
      <c r="G125" s="36"/>
      <c r="H125" s="6"/>
      <c r="I125" s="37"/>
      <c r="J125" s="29"/>
      <c r="K125" s="31"/>
      <c r="L125" s="2"/>
      <c r="M125" s="2"/>
      <c r="N125" s="2"/>
    </row>
  </sheetData>
  <mergeCells count="181">
    <mergeCell ref="D103:D104"/>
    <mergeCell ref="E103:E104"/>
    <mergeCell ref="F103:F106"/>
    <mergeCell ref="G103:G106"/>
    <mergeCell ref="D105:D106"/>
    <mergeCell ref="E105:E106"/>
    <mergeCell ref="D107:D108"/>
    <mergeCell ref="E107:E108"/>
    <mergeCell ref="G87:G90"/>
    <mergeCell ref="E101:E102"/>
    <mergeCell ref="D89:D90"/>
    <mergeCell ref="E89:E90"/>
    <mergeCell ref="D91:D92"/>
    <mergeCell ref="E91:E92"/>
    <mergeCell ref="F91:F94"/>
    <mergeCell ref="G91:G94"/>
    <mergeCell ref="D93:D94"/>
    <mergeCell ref="E93:E94"/>
    <mergeCell ref="G99:G102"/>
    <mergeCell ref="D101:D102"/>
    <mergeCell ref="D95:D96"/>
    <mergeCell ref="E95:E96"/>
    <mergeCell ref="F95:F98"/>
    <mergeCell ref="G95:G98"/>
    <mergeCell ref="D97:D98"/>
    <mergeCell ref="E97:E98"/>
    <mergeCell ref="D99:D100"/>
    <mergeCell ref="E99:E100"/>
    <mergeCell ref="F99:F102"/>
    <mergeCell ref="F75:F78"/>
    <mergeCell ref="G75:G78"/>
    <mergeCell ref="D77:D78"/>
    <mergeCell ref="D79:D80"/>
    <mergeCell ref="E79:E80"/>
    <mergeCell ref="F79:F82"/>
    <mergeCell ref="G79:G82"/>
    <mergeCell ref="D85:D86"/>
    <mergeCell ref="E85:E86"/>
    <mergeCell ref="D81:D82"/>
    <mergeCell ref="E81:E82"/>
    <mergeCell ref="D83:D84"/>
    <mergeCell ref="E83:E84"/>
    <mergeCell ref="F83:F86"/>
    <mergeCell ref="G83:G86"/>
    <mergeCell ref="A22:A25"/>
    <mergeCell ref="F22:F25"/>
    <mergeCell ref="A18:A21"/>
    <mergeCell ref="F18:F21"/>
    <mergeCell ref="G18:G21"/>
    <mergeCell ref="D17:E17"/>
    <mergeCell ref="A27:A38"/>
    <mergeCell ref="D27:D28"/>
    <mergeCell ref="D71:D72"/>
    <mergeCell ref="E71:E72"/>
    <mergeCell ref="F71:F74"/>
    <mergeCell ref="G71:G74"/>
    <mergeCell ref="D73:D74"/>
    <mergeCell ref="E73:E74"/>
    <mergeCell ref="D18:D19"/>
    <mergeCell ref="E18:E19"/>
    <mergeCell ref="E27:E28"/>
    <mergeCell ref="F27:F30"/>
    <mergeCell ref="G27:G30"/>
    <mergeCell ref="D35:D36"/>
    <mergeCell ref="E35:E36"/>
    <mergeCell ref="F35:F38"/>
    <mergeCell ref="G35:G38"/>
    <mergeCell ref="D37:D38"/>
    <mergeCell ref="H18:H25"/>
    <mergeCell ref="I18:I25"/>
    <mergeCell ref="D20:D21"/>
    <mergeCell ref="E20:E21"/>
    <mergeCell ref="D22:D23"/>
    <mergeCell ref="E22:E23"/>
    <mergeCell ref="D24:D25"/>
    <mergeCell ref="E24:E25"/>
    <mergeCell ref="G22:G25"/>
    <mergeCell ref="H27:H34"/>
    <mergeCell ref="I27:I34"/>
    <mergeCell ref="D29:D30"/>
    <mergeCell ref="E29:E30"/>
    <mergeCell ref="D31:D32"/>
    <mergeCell ref="E31:E32"/>
    <mergeCell ref="F31:F34"/>
    <mergeCell ref="G31:G34"/>
    <mergeCell ref="D33:D34"/>
    <mergeCell ref="E33:E34"/>
    <mergeCell ref="E37:E38"/>
    <mergeCell ref="A39:A43"/>
    <mergeCell ref="D39:D40"/>
    <mergeCell ref="E39:E40"/>
    <mergeCell ref="F39:F42"/>
    <mergeCell ref="G39:G42"/>
    <mergeCell ref="H39:H46"/>
    <mergeCell ref="D41:D42"/>
    <mergeCell ref="E41:E42"/>
    <mergeCell ref="D43:D44"/>
    <mergeCell ref="E43:E44"/>
    <mergeCell ref="F43:F46"/>
    <mergeCell ref="G43:G46"/>
    <mergeCell ref="A44:A46"/>
    <mergeCell ref="D45:D46"/>
    <mergeCell ref="E45:E46"/>
    <mergeCell ref="I39:I46"/>
    <mergeCell ref="E77:E78"/>
    <mergeCell ref="D75:D76"/>
    <mergeCell ref="E75:E76"/>
    <mergeCell ref="M51:N58"/>
    <mergeCell ref="D53:D54"/>
    <mergeCell ref="E53:E54"/>
    <mergeCell ref="D55:D56"/>
    <mergeCell ref="E55:E56"/>
    <mergeCell ref="F55:F58"/>
    <mergeCell ref="G55:G58"/>
    <mergeCell ref="K50:L50"/>
    <mergeCell ref="M50:N50"/>
    <mergeCell ref="D51:D52"/>
    <mergeCell ref="E51:E52"/>
    <mergeCell ref="F51:F54"/>
    <mergeCell ref="G51:G54"/>
    <mergeCell ref="I51:I58"/>
    <mergeCell ref="J51:J58"/>
    <mergeCell ref="D57:D58"/>
    <mergeCell ref="E57:E58"/>
    <mergeCell ref="D59:D60"/>
    <mergeCell ref="K49:N49"/>
    <mergeCell ref="D50:E50"/>
    <mergeCell ref="M59:M74"/>
    <mergeCell ref="N59:N74"/>
    <mergeCell ref="D61:D62"/>
    <mergeCell ref="E61:E62"/>
    <mergeCell ref="D63:D64"/>
    <mergeCell ref="E63:E64"/>
    <mergeCell ref="F63:F66"/>
    <mergeCell ref="G63:G66"/>
    <mergeCell ref="D65:D66"/>
    <mergeCell ref="E65:E66"/>
    <mergeCell ref="I59:I66"/>
    <mergeCell ref="J59:J66"/>
    <mergeCell ref="E59:E60"/>
    <mergeCell ref="F59:F62"/>
    <mergeCell ref="G59:G62"/>
    <mergeCell ref="K51:K66"/>
    <mergeCell ref="L51:L66"/>
    <mergeCell ref="I67:I74"/>
    <mergeCell ref="E69:E70"/>
    <mergeCell ref="A74:A78"/>
    <mergeCell ref="I75:I82"/>
    <mergeCell ref="J75:J82"/>
    <mergeCell ref="D67:D68"/>
    <mergeCell ref="E67:E68"/>
    <mergeCell ref="F67:F70"/>
    <mergeCell ref="G67:G70"/>
    <mergeCell ref="J67:J74"/>
    <mergeCell ref="A49:A73"/>
    <mergeCell ref="F50:G50"/>
    <mergeCell ref="I50:J50"/>
    <mergeCell ref="A113:A125"/>
    <mergeCell ref="E116:E118"/>
    <mergeCell ref="E122:E124"/>
    <mergeCell ref="M91:M106"/>
    <mergeCell ref="N91:N106"/>
    <mergeCell ref="A97:A108"/>
    <mergeCell ref="I99:I106"/>
    <mergeCell ref="J99:J106"/>
    <mergeCell ref="K99:L106"/>
    <mergeCell ref="K83:K98"/>
    <mergeCell ref="L83:L98"/>
    <mergeCell ref="I91:I98"/>
    <mergeCell ref="J91:J98"/>
    <mergeCell ref="D87:D88"/>
    <mergeCell ref="E87:E88"/>
    <mergeCell ref="F87:F90"/>
    <mergeCell ref="M75:M90"/>
    <mergeCell ref="N75:N90"/>
    <mergeCell ref="A79:A96"/>
    <mergeCell ref="I83:I90"/>
    <mergeCell ref="J83:J90"/>
    <mergeCell ref="K67:K82"/>
    <mergeCell ref="L67:L82"/>
    <mergeCell ref="D69:D70"/>
  </mergeCell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98e9ba89-e1a1-4e38-9007-8bdabc25de1d}" enabled="0" method="" siteId="{98e9ba89-e1a1-4e38-9007-8bdabc25de1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Revision_history</vt:lpstr>
      <vt:lpstr>HC_offset_table</vt:lpstr>
      <vt:lpstr>Band_channel_info</vt:lpstr>
    </vt:vector>
  </TitlesOfParts>
  <Manager/>
  <Company>Qualcomm Incorporated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Green</dc:creator>
  <cp:keywords/>
  <dc:description/>
  <cp:lastModifiedBy>Seshan Rajendran</cp:lastModifiedBy>
  <cp:revision/>
  <dcterms:created xsi:type="dcterms:W3CDTF">2023-01-31T16:23:08Z</dcterms:created>
  <dcterms:modified xsi:type="dcterms:W3CDTF">2023-05-18T06:20:39Z</dcterms:modified>
  <cp:category/>
  <cp:contentStatus/>
</cp:coreProperties>
</file>